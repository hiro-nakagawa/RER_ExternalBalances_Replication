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0-vecm-nfa\"/>
    </mc:Choice>
  </mc:AlternateContent>
  <xr:revisionPtr revIDLastSave="0" documentId="8_{54EF2D1E-39EC-4011-9AD1-A45AB2A774B7}" xr6:coauthVersionLast="47" xr6:coauthVersionMax="47" xr10:uidLastSave="{00000000-0000-0000-0000-000000000000}"/>
  <bookViews>
    <workbookView xWindow="-93" yWindow="-93" windowWidth="19386" windowHeight="12266" xr2:uid="{174E6552-29C9-49AB-8257-ED256629FAB1}"/>
  </bookViews>
  <sheets>
    <sheet name="Data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1" l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J124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J104" i="1"/>
  <c r="I104" i="1"/>
  <c r="I103" i="1"/>
  <c r="I102" i="1"/>
  <c r="I101" i="1"/>
  <c r="I100" i="1"/>
  <c r="I99" i="1"/>
  <c r="I98" i="1"/>
  <c r="I97" i="1"/>
  <c r="I96" i="1"/>
  <c r="I95" i="1"/>
  <c r="I94" i="1"/>
  <c r="I93" i="1"/>
  <c r="J92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J72" i="1"/>
  <c r="I72" i="1"/>
  <c r="I71" i="1"/>
  <c r="I70" i="1"/>
  <c r="I69" i="1"/>
  <c r="I68" i="1"/>
  <c r="I67" i="1"/>
  <c r="I66" i="1"/>
  <c r="I65" i="1"/>
  <c r="I64" i="1"/>
  <c r="I63" i="1"/>
  <c r="I62" i="1"/>
  <c r="I61" i="1"/>
  <c r="J60" i="1"/>
  <c r="I60" i="1"/>
  <c r="I59" i="1"/>
  <c r="I58" i="1"/>
  <c r="I57" i="1"/>
  <c r="I56" i="1"/>
  <c r="I55" i="1"/>
  <c r="J54" i="1"/>
  <c r="I54" i="1"/>
  <c r="I53" i="1"/>
  <c r="I52" i="1"/>
  <c r="I51" i="1"/>
  <c r="I50" i="1"/>
  <c r="I49" i="1"/>
  <c r="J48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J28" i="1"/>
  <c r="I28" i="1"/>
  <c r="I27" i="1"/>
  <c r="I26" i="1"/>
  <c r="I25" i="1"/>
  <c r="I24" i="1"/>
  <c r="I23" i="1"/>
  <c r="J22" i="1"/>
  <c r="I22" i="1"/>
  <c r="I21" i="1"/>
  <c r="J20" i="1"/>
  <c r="I20" i="1"/>
  <c r="I19" i="1"/>
  <c r="I18" i="1"/>
  <c r="I17" i="1"/>
  <c r="I16" i="1"/>
  <c r="I15" i="1"/>
  <c r="J14" i="1"/>
  <c r="I14" i="1"/>
  <c r="I13" i="1"/>
  <c r="I12" i="1"/>
  <c r="I11" i="1"/>
  <c r="I10" i="1"/>
  <c r="I9" i="1"/>
  <c r="I8" i="1"/>
  <c r="I7" i="1"/>
  <c r="I6" i="1"/>
  <c r="I5" i="1"/>
  <c r="J4" i="1"/>
  <c r="I4" i="1"/>
  <c r="I3" i="1"/>
  <c r="I2" i="1"/>
  <c r="D2" i="1"/>
  <c r="J2" i="1" s="1"/>
  <c r="D3" i="1"/>
  <c r="J3" i="1" s="1"/>
  <c r="D4" i="1"/>
  <c r="D5" i="1"/>
  <c r="J5" i="1" s="1"/>
  <c r="D6" i="1"/>
  <c r="J6" i="1" s="1"/>
  <c r="D7" i="1"/>
  <c r="J7" i="1" s="1"/>
  <c r="D8" i="1"/>
  <c r="J8" i="1" s="1"/>
  <c r="D9" i="1"/>
  <c r="J9" i="1" s="1"/>
  <c r="D10" i="1"/>
  <c r="J10" i="1" s="1"/>
  <c r="D11" i="1"/>
  <c r="J11" i="1" s="1"/>
  <c r="D12" i="1"/>
  <c r="J12" i="1" s="1"/>
  <c r="D13" i="1"/>
  <c r="J13" i="1" s="1"/>
  <c r="D14" i="1"/>
  <c r="D15" i="1"/>
  <c r="J15" i="1" s="1"/>
  <c r="D16" i="1"/>
  <c r="J16" i="1" s="1"/>
  <c r="D17" i="1"/>
  <c r="J17" i="1" s="1"/>
  <c r="D18" i="1"/>
  <c r="J18" i="1" s="1"/>
  <c r="D19" i="1"/>
  <c r="J19" i="1" s="1"/>
  <c r="D20" i="1"/>
  <c r="D21" i="1"/>
  <c r="J21" i="1" s="1"/>
  <c r="D22" i="1"/>
  <c r="D23" i="1"/>
  <c r="J23" i="1" s="1"/>
  <c r="D24" i="1"/>
  <c r="J24" i="1" s="1"/>
  <c r="D25" i="1"/>
  <c r="J25" i="1" s="1"/>
  <c r="D26" i="1"/>
  <c r="J26" i="1" s="1"/>
  <c r="D27" i="1"/>
  <c r="J27" i="1" s="1"/>
  <c r="D28" i="1"/>
  <c r="D29" i="1"/>
  <c r="J29" i="1" s="1"/>
  <c r="D30" i="1"/>
  <c r="J30" i="1" s="1"/>
  <c r="D31" i="1"/>
  <c r="J31" i="1" s="1"/>
  <c r="D32" i="1"/>
  <c r="J32" i="1" s="1"/>
  <c r="D33" i="1"/>
  <c r="J33" i="1" s="1"/>
  <c r="D34" i="1"/>
  <c r="J34" i="1" s="1"/>
  <c r="D35" i="1"/>
  <c r="J35" i="1" s="1"/>
  <c r="D36" i="1"/>
  <c r="J36" i="1" s="1"/>
  <c r="D37" i="1"/>
  <c r="J37" i="1" s="1"/>
  <c r="D38" i="1"/>
  <c r="J38" i="1" s="1"/>
  <c r="D39" i="1"/>
  <c r="J39" i="1" s="1"/>
  <c r="D40" i="1"/>
  <c r="J40" i="1" s="1"/>
  <c r="D41" i="1"/>
  <c r="J41" i="1" s="1"/>
  <c r="D42" i="1"/>
  <c r="J42" i="1" s="1"/>
  <c r="D43" i="1"/>
  <c r="J43" i="1" s="1"/>
  <c r="D44" i="1"/>
  <c r="J44" i="1" s="1"/>
  <c r="D45" i="1"/>
  <c r="J45" i="1" s="1"/>
  <c r="D46" i="1"/>
  <c r="J46" i="1" s="1"/>
  <c r="D47" i="1"/>
  <c r="J47" i="1" s="1"/>
  <c r="D48" i="1"/>
  <c r="D49" i="1"/>
  <c r="J49" i="1" s="1"/>
  <c r="D50" i="1"/>
  <c r="J50" i="1" s="1"/>
  <c r="D51" i="1"/>
  <c r="J51" i="1" s="1"/>
  <c r="D52" i="1"/>
  <c r="J52" i="1" s="1"/>
  <c r="D53" i="1"/>
  <c r="J53" i="1" s="1"/>
  <c r="D54" i="1"/>
  <c r="D55" i="1"/>
  <c r="J55" i="1" s="1"/>
  <c r="D56" i="1"/>
  <c r="J56" i="1" s="1"/>
  <c r="D57" i="1"/>
  <c r="J57" i="1" s="1"/>
  <c r="D58" i="1"/>
  <c r="J58" i="1" s="1"/>
  <c r="D59" i="1"/>
  <c r="J59" i="1" s="1"/>
  <c r="D60" i="1"/>
  <c r="D61" i="1"/>
  <c r="J61" i="1" s="1"/>
  <c r="D62" i="1"/>
  <c r="J62" i="1" s="1"/>
  <c r="D63" i="1"/>
  <c r="J63" i="1" s="1"/>
  <c r="D64" i="1"/>
  <c r="J64" i="1" s="1"/>
  <c r="D65" i="1"/>
  <c r="J65" i="1" s="1"/>
  <c r="D66" i="1"/>
  <c r="J66" i="1" s="1"/>
  <c r="D67" i="1"/>
  <c r="J67" i="1" s="1"/>
  <c r="D68" i="1"/>
  <c r="J68" i="1" s="1"/>
  <c r="D69" i="1"/>
  <c r="J69" i="1" s="1"/>
  <c r="D70" i="1"/>
  <c r="J70" i="1" s="1"/>
  <c r="D71" i="1"/>
  <c r="J71" i="1" s="1"/>
  <c r="D72" i="1"/>
  <c r="D73" i="1"/>
  <c r="J73" i="1" s="1"/>
  <c r="D74" i="1"/>
  <c r="J74" i="1" s="1"/>
  <c r="D75" i="1"/>
  <c r="J75" i="1" s="1"/>
  <c r="D76" i="1"/>
  <c r="J76" i="1" s="1"/>
  <c r="D77" i="1"/>
  <c r="J77" i="1" s="1"/>
  <c r="D78" i="1"/>
  <c r="J78" i="1" s="1"/>
  <c r="D79" i="1"/>
  <c r="J79" i="1" s="1"/>
  <c r="D80" i="1"/>
  <c r="J80" i="1" s="1"/>
  <c r="D81" i="1"/>
  <c r="J81" i="1" s="1"/>
  <c r="D82" i="1"/>
  <c r="J82" i="1" s="1"/>
  <c r="D83" i="1"/>
  <c r="J83" i="1" s="1"/>
  <c r="D84" i="1"/>
  <c r="J84" i="1" s="1"/>
  <c r="D85" i="1"/>
  <c r="J85" i="1" s="1"/>
  <c r="D86" i="1"/>
  <c r="J86" i="1" s="1"/>
  <c r="D87" i="1"/>
  <c r="J87" i="1" s="1"/>
  <c r="D88" i="1"/>
  <c r="J88" i="1" s="1"/>
  <c r="D89" i="1"/>
  <c r="J89" i="1" s="1"/>
  <c r="D90" i="1"/>
  <c r="J90" i="1" s="1"/>
  <c r="D91" i="1"/>
  <c r="J91" i="1" s="1"/>
  <c r="D92" i="1"/>
  <c r="D93" i="1"/>
  <c r="J93" i="1" s="1"/>
  <c r="D94" i="1"/>
  <c r="J94" i="1" s="1"/>
  <c r="D95" i="1"/>
  <c r="J95" i="1" s="1"/>
  <c r="D96" i="1"/>
  <c r="J96" i="1" s="1"/>
  <c r="D97" i="1"/>
  <c r="J97" i="1" s="1"/>
  <c r="D98" i="1"/>
  <c r="J98" i="1" s="1"/>
  <c r="D99" i="1"/>
  <c r="J99" i="1" s="1"/>
  <c r="D100" i="1"/>
  <c r="J100" i="1" s="1"/>
  <c r="D101" i="1"/>
  <c r="J101" i="1" s="1"/>
  <c r="D102" i="1"/>
  <c r="J102" i="1" s="1"/>
  <c r="D103" i="1"/>
  <c r="J103" i="1" s="1"/>
  <c r="D104" i="1"/>
  <c r="D105" i="1"/>
  <c r="J105" i="1" s="1"/>
  <c r="D106" i="1"/>
  <c r="J106" i="1" s="1"/>
  <c r="D107" i="1"/>
  <c r="J107" i="1" s="1"/>
  <c r="D108" i="1"/>
  <c r="J108" i="1" s="1"/>
  <c r="D109" i="1"/>
  <c r="J109" i="1" s="1"/>
  <c r="D110" i="1"/>
  <c r="J110" i="1" s="1"/>
  <c r="D111" i="1"/>
  <c r="J111" i="1" s="1"/>
  <c r="D112" i="1"/>
  <c r="J112" i="1" s="1"/>
  <c r="D113" i="1"/>
  <c r="J113" i="1" s="1"/>
  <c r="D114" i="1"/>
  <c r="J114" i="1" s="1"/>
  <c r="D115" i="1"/>
  <c r="J115" i="1" s="1"/>
  <c r="D116" i="1"/>
  <c r="J116" i="1" s="1"/>
  <c r="D117" i="1"/>
  <c r="J117" i="1" s="1"/>
  <c r="D118" i="1"/>
  <c r="J118" i="1" s="1"/>
  <c r="D119" i="1"/>
  <c r="J119" i="1" s="1"/>
  <c r="D120" i="1"/>
  <c r="J120" i="1" s="1"/>
  <c r="D121" i="1"/>
  <c r="J121" i="1" s="1"/>
  <c r="D122" i="1"/>
  <c r="J122" i="1" s="1"/>
  <c r="D123" i="1"/>
  <c r="J123" i="1" s="1"/>
  <c r="D124" i="1"/>
  <c r="D125" i="1"/>
  <c r="J125" i="1" s="1"/>
  <c r="D126" i="1"/>
  <c r="J126" i="1" s="1"/>
  <c r="D127" i="1"/>
  <c r="J127" i="1" s="1"/>
  <c r="D128" i="1"/>
  <c r="J128" i="1" s="1"/>
  <c r="D129" i="1"/>
  <c r="J129" i="1" s="1"/>
  <c r="D130" i="1"/>
  <c r="J130" i="1" s="1"/>
  <c r="D131" i="1"/>
  <c r="J131" i="1" s="1"/>
  <c r="D132" i="1"/>
  <c r="J132" i="1" s="1"/>
  <c r="D133" i="1"/>
  <c r="J133" i="1" s="1"/>
  <c r="D134" i="1"/>
  <c r="J134" i="1" s="1"/>
  <c r="D135" i="1"/>
  <c r="J135" i="1" s="1"/>
  <c r="D136" i="1"/>
  <c r="J136" i="1" s="1"/>
  <c r="D137" i="1"/>
  <c r="J137" i="1" s="1"/>
  <c r="D138" i="1"/>
  <c r="J138" i="1" s="1"/>
  <c r="D139" i="1"/>
  <c r="J139" i="1" s="1"/>
  <c r="D140" i="1"/>
  <c r="J140" i="1" s="1"/>
  <c r="D141" i="1"/>
  <c r="J141" i="1" s="1"/>
  <c r="D142" i="1"/>
  <c r="J142" i="1" s="1"/>
  <c r="D143" i="1"/>
  <c r="J143" i="1" s="1"/>
  <c r="D144" i="1"/>
  <c r="J144" i="1" s="1"/>
  <c r="D145" i="1"/>
  <c r="J145" i="1" s="1"/>
  <c r="D146" i="1"/>
  <c r="J146" i="1" s="1"/>
  <c r="D147" i="1"/>
  <c r="J147" i="1" s="1"/>
  <c r="D148" i="1"/>
  <c r="J148" i="1" s="1"/>
  <c r="D149" i="1"/>
  <c r="J149" i="1" s="1"/>
  <c r="D150" i="1"/>
  <c r="J150" i="1" s="1"/>
  <c r="D151" i="1"/>
  <c r="J151" i="1" s="1"/>
  <c r="D152" i="1"/>
  <c r="J152" i="1" s="1"/>
  <c r="D153" i="1"/>
  <c r="J153" i="1" s="1"/>
  <c r="D154" i="1"/>
  <c r="J154" i="1" s="1"/>
  <c r="D155" i="1"/>
  <c r="J155" i="1" s="1"/>
  <c r="D156" i="1"/>
  <c r="J156" i="1" s="1"/>
  <c r="D157" i="1"/>
  <c r="J157" i="1" s="1"/>
  <c r="D158" i="1"/>
  <c r="J158" i="1" s="1"/>
  <c r="D159" i="1"/>
  <c r="J159" i="1" s="1"/>
  <c r="D160" i="1"/>
  <c r="J160" i="1" s="1"/>
  <c r="D161" i="1"/>
  <c r="J161" i="1" s="1"/>
  <c r="D162" i="1"/>
  <c r="J162" i="1" s="1"/>
  <c r="D163" i="1"/>
  <c r="J163" i="1" s="1"/>
  <c r="D164" i="1"/>
  <c r="J164" i="1" s="1"/>
  <c r="D165" i="1"/>
  <c r="J165" i="1" s="1"/>
  <c r="D166" i="1"/>
  <c r="J166" i="1" s="1"/>
  <c r="D167" i="1"/>
  <c r="J167" i="1" s="1"/>
  <c r="D168" i="1"/>
  <c r="J168" i="1" s="1"/>
  <c r="D169" i="1"/>
  <c r="J169" i="1" s="1"/>
  <c r="D170" i="1"/>
  <c r="J170" i="1" s="1"/>
  <c r="D171" i="1"/>
  <c r="J171" i="1" s="1"/>
  <c r="D172" i="1"/>
  <c r="J172" i="1" s="1"/>
  <c r="D173" i="1"/>
  <c r="J173" i="1" s="1"/>
  <c r="D174" i="1"/>
  <c r="J174" i="1" s="1"/>
  <c r="D175" i="1"/>
  <c r="J175" i="1" s="1"/>
  <c r="D176" i="1"/>
  <c r="J176" i="1" s="1"/>
  <c r="D177" i="1"/>
  <c r="J177" i="1" s="1"/>
  <c r="D178" i="1"/>
  <c r="J178" i="1" s="1"/>
  <c r="D179" i="1"/>
  <c r="J179" i="1" s="1"/>
  <c r="D180" i="1"/>
  <c r="J180" i="1" s="1"/>
  <c r="D181" i="1"/>
  <c r="J181" i="1" s="1"/>
  <c r="D182" i="1"/>
  <c r="J182" i="1" s="1"/>
  <c r="D183" i="1"/>
  <c r="J183" i="1" s="1"/>
  <c r="D184" i="1"/>
  <c r="J184" i="1" s="1"/>
  <c r="D185" i="1"/>
  <c r="J185" i="1" s="1"/>
  <c r="D186" i="1"/>
  <c r="J186" i="1" s="1"/>
  <c r="D187" i="1"/>
  <c r="J187" i="1" s="1"/>
  <c r="D188" i="1"/>
  <c r="J188" i="1" s="1"/>
  <c r="D189" i="1"/>
  <c r="J189" i="1" s="1"/>
  <c r="D190" i="1"/>
  <c r="J190" i="1" s="1"/>
  <c r="D191" i="1"/>
  <c r="J191" i="1" s="1"/>
  <c r="D192" i="1"/>
  <c r="J192" i="1" s="1"/>
  <c r="D193" i="1"/>
  <c r="J193" i="1" s="1"/>
  <c r="D194" i="1"/>
  <c r="J194" i="1" s="1"/>
  <c r="D195" i="1"/>
  <c r="J195" i="1" s="1"/>
  <c r="D196" i="1"/>
  <c r="J196" i="1" s="1"/>
  <c r="D197" i="1"/>
  <c r="J197" i="1" s="1"/>
  <c r="D198" i="1"/>
  <c r="J198" i="1" s="1"/>
  <c r="D199" i="1"/>
  <c r="J199" i="1" s="1"/>
  <c r="D200" i="1"/>
  <c r="J200" i="1" s="1"/>
  <c r="D201" i="1"/>
  <c r="J201" i="1" s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42" i="1"/>
  <c r="N41" i="1" s="1"/>
  <c r="N40" i="1" s="1"/>
  <c r="N39" i="1" s="1"/>
  <c r="N38" i="1" s="1"/>
  <c r="N37" i="1" s="1"/>
  <c r="N36" i="1" s="1"/>
  <c r="N35" i="1" s="1"/>
  <c r="N34" i="1" s="1"/>
  <c r="N33" i="1" s="1"/>
  <c r="N32" i="1" s="1"/>
  <c r="N31" i="1" s="1"/>
  <c r="N30" i="1" s="1"/>
  <c r="N29" i="1" s="1"/>
  <c r="N28" i="1" s="1"/>
  <c r="N27" i="1" s="1"/>
  <c r="N26" i="1" s="1"/>
  <c r="N25" i="1" s="1"/>
  <c r="N24" i="1" s="1"/>
  <c r="N23" i="1" s="1"/>
  <c r="N22" i="1" s="1"/>
  <c r="N21" i="1" s="1"/>
  <c r="N20" i="1" s="1"/>
  <c r="N19" i="1" s="1"/>
  <c r="N18" i="1" s="1"/>
  <c r="N17" i="1" s="1"/>
  <c r="N16" i="1" s="1"/>
  <c r="N15" i="1" s="1"/>
  <c r="N14" i="1" s="1"/>
  <c r="N13" i="1" s="1"/>
  <c r="N12" i="1" s="1"/>
  <c r="N11" i="1" s="1"/>
  <c r="N10" i="1" s="1"/>
  <c r="N9" i="1" s="1"/>
  <c r="N8" i="1" s="1"/>
  <c r="N7" i="1" s="1"/>
  <c r="N6" i="1" s="1"/>
  <c r="N5" i="1" s="1"/>
  <c r="N4" i="1" s="1"/>
  <c r="N3" i="1" s="1"/>
  <c r="N2" i="1" s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82" i="1"/>
  <c r="F83" i="1"/>
  <c r="F84" i="1"/>
  <c r="F85" i="1"/>
  <c r="F86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K2" i="1" l="1"/>
  <c r="K3" i="1" l="1"/>
  <c r="K4" i="1" l="1"/>
  <c r="K5" i="1" l="1"/>
  <c r="K6" i="1" l="1"/>
  <c r="K7" i="1" l="1"/>
  <c r="K8" i="1" l="1"/>
  <c r="K9" i="1" l="1"/>
  <c r="K10" i="1" l="1"/>
  <c r="K11" i="1" l="1"/>
  <c r="K12" i="1" l="1"/>
  <c r="K13" i="1" l="1"/>
  <c r="K14" i="1" l="1"/>
  <c r="K15" i="1" l="1"/>
  <c r="K16" i="1" l="1"/>
  <c r="K17" i="1" l="1"/>
  <c r="K18" i="1" l="1"/>
  <c r="K19" i="1" l="1"/>
  <c r="K20" i="1" l="1"/>
  <c r="K21" i="1" l="1"/>
  <c r="K22" i="1" l="1"/>
  <c r="K23" i="1" l="1"/>
  <c r="K24" i="1" l="1"/>
  <c r="K25" i="1" l="1"/>
  <c r="K26" i="1" l="1"/>
  <c r="K27" i="1" l="1"/>
  <c r="K28" i="1" l="1"/>
  <c r="K29" i="1" l="1"/>
  <c r="K30" i="1" l="1"/>
  <c r="K31" i="1" l="1"/>
  <c r="K32" i="1" l="1"/>
  <c r="K33" i="1" l="1"/>
  <c r="K34" i="1" l="1"/>
  <c r="K35" i="1" l="1"/>
  <c r="K36" i="1" l="1"/>
  <c r="K37" i="1" l="1"/>
  <c r="K38" i="1" l="1"/>
  <c r="K39" i="1" l="1"/>
  <c r="K40" i="1" l="1"/>
  <c r="K41" i="1" l="1"/>
  <c r="K42" i="1" l="1"/>
  <c r="K43" i="1" l="1"/>
  <c r="K44" i="1" l="1"/>
  <c r="K45" i="1" l="1"/>
  <c r="K46" i="1" l="1"/>
  <c r="K47" i="1" l="1"/>
  <c r="K48" i="1" l="1"/>
  <c r="K49" i="1" l="1"/>
  <c r="K50" i="1" l="1"/>
  <c r="K51" i="1" l="1"/>
  <c r="K52" i="1" l="1"/>
  <c r="K53" i="1" l="1"/>
  <c r="K54" i="1" l="1"/>
  <c r="K55" i="1" l="1"/>
  <c r="K56" i="1" l="1"/>
  <c r="K57" i="1" l="1"/>
  <c r="K58" i="1" l="1"/>
  <c r="K59" i="1" l="1"/>
  <c r="K60" i="1" l="1"/>
  <c r="K61" i="1" l="1"/>
  <c r="K62" i="1" l="1"/>
  <c r="K63" i="1" l="1"/>
  <c r="K64" i="1" l="1"/>
  <c r="K65" i="1" l="1"/>
  <c r="K66" i="1" l="1"/>
  <c r="K67" i="1" l="1"/>
  <c r="K68" i="1" l="1"/>
  <c r="K69" i="1" l="1"/>
  <c r="K70" i="1" l="1"/>
  <c r="K71" i="1" l="1"/>
  <c r="K72" i="1" l="1"/>
  <c r="K73" i="1" l="1"/>
  <c r="K74" i="1" l="1"/>
  <c r="K75" i="1" l="1"/>
  <c r="K76" i="1" l="1"/>
  <c r="K77" i="1" l="1"/>
  <c r="K78" i="1" l="1"/>
  <c r="K79" i="1" l="1"/>
  <c r="K80" i="1" l="1"/>
  <c r="K81" i="1" l="1"/>
  <c r="K82" i="1" l="1"/>
  <c r="K83" i="1" l="1"/>
  <c r="K84" i="1" l="1"/>
  <c r="K85" i="1" l="1"/>
  <c r="K86" i="1" l="1"/>
  <c r="K87" i="1" l="1"/>
  <c r="K88" i="1" l="1"/>
  <c r="K89" i="1" l="1"/>
  <c r="K90" i="1" l="1"/>
  <c r="K91" i="1" l="1"/>
  <c r="K92" i="1" l="1"/>
  <c r="K93" i="1" l="1"/>
  <c r="K94" i="1" l="1"/>
  <c r="K95" i="1" l="1"/>
  <c r="K96" i="1" l="1"/>
  <c r="K97" i="1" l="1"/>
  <c r="K98" i="1" l="1"/>
  <c r="K99" i="1" l="1"/>
  <c r="K100" i="1" l="1"/>
  <c r="K101" i="1" l="1"/>
  <c r="K102" i="1" l="1"/>
  <c r="K103" i="1" l="1"/>
  <c r="K104" i="1" l="1"/>
  <c r="K105" i="1" l="1"/>
  <c r="K106" i="1" l="1"/>
  <c r="K107" i="1" l="1"/>
  <c r="K108" i="1" l="1"/>
  <c r="K109" i="1" l="1"/>
  <c r="K110" i="1" l="1"/>
  <c r="K111" i="1" l="1"/>
  <c r="K112" i="1" l="1"/>
  <c r="K113" i="1" l="1"/>
  <c r="K114" i="1" l="1"/>
  <c r="K115" i="1" l="1"/>
  <c r="K116" i="1" l="1"/>
  <c r="K117" i="1" l="1"/>
  <c r="K118" i="1" l="1"/>
  <c r="K119" i="1" l="1"/>
  <c r="K120" i="1" l="1"/>
  <c r="K121" i="1" l="1"/>
  <c r="K122" i="1" l="1"/>
  <c r="K123" i="1" l="1"/>
  <c r="K124" i="1" l="1"/>
  <c r="K125" i="1" l="1"/>
  <c r="K126" i="1" l="1"/>
  <c r="K127" i="1" l="1"/>
  <c r="K128" i="1" l="1"/>
  <c r="K129" i="1" l="1"/>
  <c r="K130" i="1" l="1"/>
  <c r="K131" i="1" l="1"/>
  <c r="K132" i="1" l="1"/>
  <c r="K133" i="1" l="1"/>
  <c r="K134" i="1" l="1"/>
  <c r="K135" i="1" l="1"/>
  <c r="K136" i="1" l="1"/>
  <c r="K137" i="1" l="1"/>
  <c r="K138" i="1" l="1"/>
  <c r="K139" i="1" l="1"/>
  <c r="K140" i="1" l="1"/>
  <c r="K141" i="1" l="1"/>
  <c r="K142" i="1" l="1"/>
  <c r="K143" i="1" l="1"/>
  <c r="K144" i="1" l="1"/>
  <c r="K145" i="1" l="1"/>
  <c r="K146" i="1" l="1"/>
  <c r="K147" i="1" l="1"/>
  <c r="K148" i="1" l="1"/>
  <c r="K149" i="1" l="1"/>
  <c r="K150" i="1" l="1"/>
  <c r="K151" i="1" l="1"/>
  <c r="K152" i="1" l="1"/>
  <c r="K153" i="1" l="1"/>
  <c r="K154" i="1" l="1"/>
  <c r="K155" i="1" l="1"/>
  <c r="K156" i="1" l="1"/>
  <c r="K157" i="1" l="1"/>
  <c r="K158" i="1" l="1"/>
  <c r="K159" i="1" l="1"/>
  <c r="K160" i="1" l="1"/>
  <c r="K161" i="1" l="1"/>
  <c r="K162" i="1" l="1"/>
  <c r="K163" i="1" l="1"/>
  <c r="K164" i="1" l="1"/>
  <c r="K165" i="1" l="1"/>
  <c r="K166" i="1" l="1"/>
  <c r="K167" i="1" l="1"/>
  <c r="K168" i="1" l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</calcChain>
</file>

<file path=xl/sharedStrings.xml><?xml version="1.0" encoding="utf-8"?>
<sst xmlns="http://schemas.openxmlformats.org/spreadsheetml/2006/main" count="41" uniqueCount="30">
  <si>
    <t>Total Liabilities row</t>
  </si>
  <si>
    <t>Total assets Row</t>
    <phoneticPr fontId="4"/>
  </si>
  <si>
    <t>CA</t>
    <phoneticPr fontId="4"/>
  </si>
  <si>
    <t>GDP</t>
    <phoneticPr fontId="4"/>
  </si>
  <si>
    <t>RER</t>
    <phoneticPr fontId="4"/>
  </si>
  <si>
    <t>cumCA_GDP</t>
    <phoneticPr fontId="4"/>
  </si>
  <si>
    <t>Real effective exchange rate (index, 2010=100)</t>
    <phoneticPr fontId="4"/>
  </si>
  <si>
    <t>Bank for International Settlements (2025), Effective exchange rates, BIS WS_EER 1.0 (data set), https://data.bis.org/topics/EER/BIS,WS_EER,1.0/M.R.N.US (accessed on 22 March 2025).</t>
    <phoneticPr fontId="4"/>
  </si>
  <si>
    <t>(Monthly obs. are converted to quarterly obs.)</t>
    <phoneticPr fontId="4"/>
  </si>
  <si>
    <t>International Financial Statistics, International Financial Statistics</t>
  </si>
  <si>
    <t xml:space="preserve">Sources: </t>
    <phoneticPr fontId="4"/>
  </si>
  <si>
    <t>Source:  U.S. Bureau of Economic Analysis, Gross Domestic Product [GDP], retrieved from FRED, Federal Reserve Bank of St. Louis; https://fred.stlouisfed.org/series/GDP,?March 22, 2025.</t>
    <phoneticPr fontId="4"/>
  </si>
  <si>
    <t>NFA</t>
    <phoneticPr fontId="4"/>
  </si>
  <si>
    <t>Bil. US$, seasonally adjusted, annual rate</t>
    <phoneticPr fontId="4"/>
  </si>
  <si>
    <t>Bil.US$, Difference bet. total assets and liabilities ROW</t>
    <phoneticPr fontId="4"/>
  </si>
  <si>
    <t>Sources:</t>
    <phoneticPr fontId="4"/>
  </si>
  <si>
    <t>Table S.9 Rest of World sector of the Integrated Macroeconomic Accounts, BEA</t>
    <phoneticPr fontId="4"/>
  </si>
  <si>
    <t>Data description</t>
    <phoneticPr fontId="4"/>
  </si>
  <si>
    <t>RERBIS</t>
    <phoneticPr fontId="4"/>
  </si>
  <si>
    <t>RERIFS</t>
    <phoneticPr fontId="4"/>
  </si>
  <si>
    <t>nfa_GDP</t>
    <phoneticPr fontId="4"/>
  </si>
  <si>
    <t>Cumulated current account relative to GDP</t>
    <phoneticPr fontId="4"/>
  </si>
  <si>
    <t>NFA relative to GDP</t>
    <phoneticPr fontId="4"/>
  </si>
  <si>
    <t>cumVal</t>
    <phoneticPr fontId="4"/>
  </si>
  <si>
    <t>cumVal_GDP</t>
    <phoneticPr fontId="4"/>
  </si>
  <si>
    <t>cumCA</t>
  </si>
  <si>
    <t>Cumulated valuations relative to GDP</t>
    <phoneticPr fontId="4"/>
  </si>
  <si>
    <t>Derived by cumulating current account balances over time from the 1960 value of NFA.</t>
    <phoneticPr fontId="4"/>
  </si>
  <si>
    <t>Calculated by subtracting the cumulated current account from the net foreign assets position.</t>
    <phoneticPr fontId="4"/>
  </si>
  <si>
    <t>Drawn from Atkeson,Heathcote and Perri (forthcoming in AER)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</si>
</sst>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"/>
    <numFmt numFmtId="178" formatCode="0.0"/>
    <numFmt numFmtId="179" formatCode="0.0%"/>
  </numFmts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indexed="8"/>
      <name val="游ゴシック"/>
      <family val="2"/>
      <scheme val="minor"/>
    </font>
    <font>
      <sz val="10"/>
      <color rgb="FF000000"/>
      <name val="ITC Bookman"/>
    </font>
    <font>
      <sz val="6"/>
      <name val="游ゴシック"/>
      <family val="2"/>
      <charset val="128"/>
      <scheme val="minor"/>
    </font>
    <font>
      <b/>
      <sz val="11"/>
      <name val="Calibri"/>
      <family val="2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1"/>
    <xf numFmtId="176" fontId="1" fillId="0" borderId="0" xfId="1" applyNumberFormat="1"/>
    <xf numFmtId="177" fontId="0" fillId="0" borderId="0" xfId="0" applyNumberFormat="1">
      <alignment vertical="center"/>
    </xf>
    <xf numFmtId="0" fontId="5" fillId="0" borderId="0" xfId="1" applyFont="1"/>
    <xf numFmtId="0" fontId="0" fillId="0" borderId="0" xfId="0" applyAlignment="1"/>
    <xf numFmtId="10" fontId="0" fillId="0" borderId="0" xfId="0" applyNumberFormat="1" applyAlignment="1"/>
    <xf numFmtId="1" fontId="0" fillId="0" borderId="0" xfId="0" applyNumberFormat="1" applyAlignment="1">
      <alignment horizontal="right"/>
    </xf>
    <xf numFmtId="179" fontId="0" fillId="0" borderId="0" xfId="5" applyNumberFormat="1" applyFont="1">
      <alignment vertical="center"/>
    </xf>
    <xf numFmtId="0" fontId="0" fillId="0" borderId="1" xfId="0" applyBorder="1">
      <alignment vertical="center"/>
    </xf>
    <xf numFmtId="0" fontId="7" fillId="0" borderId="0" xfId="1" applyFont="1"/>
    <xf numFmtId="0" fontId="7" fillId="0" borderId="0" xfId="0" applyFont="1">
      <alignment vertical="center"/>
    </xf>
    <xf numFmtId="178" fontId="7" fillId="0" borderId="0" xfId="0" applyNumberFormat="1" applyFont="1">
      <alignment vertical="center"/>
    </xf>
    <xf numFmtId="179" fontId="7" fillId="0" borderId="0" xfId="5" applyNumberFormat="1" applyFont="1">
      <alignment vertical="center"/>
    </xf>
    <xf numFmtId="4" fontId="8" fillId="0" borderId="0" xfId="1" applyNumberFormat="1" applyFont="1" applyAlignment="1">
      <alignment horizontal="right" vertical="center" wrapText="1"/>
    </xf>
    <xf numFmtId="4" fontId="7" fillId="0" borderId="0" xfId="0" applyNumberFormat="1" applyFont="1">
      <alignment vertical="center"/>
    </xf>
    <xf numFmtId="0" fontId="9" fillId="0" borderId="0" xfId="1" applyFont="1"/>
    <xf numFmtId="179" fontId="9" fillId="0" borderId="0" xfId="5" applyNumberFormat="1" applyFont="1" applyAlignment="1"/>
    <xf numFmtId="178" fontId="9" fillId="0" borderId="0" xfId="5" applyNumberFormat="1" applyFont="1" applyAlignment="1"/>
  </cellXfs>
  <cellStyles count="6">
    <cellStyle name="Normal 2" xfId="2" xr:uid="{16FC67E0-86DD-48F0-955F-E981164E3CBA}"/>
    <cellStyle name="Normal 3" xfId="4" xr:uid="{AD285002-C1D7-409F-94F0-95CBE6DAF33D}"/>
    <cellStyle name="パーセント" xfId="5" builtinId="5"/>
    <cellStyle name="パーセント 2" xfId="3" xr:uid="{066A4CF3-68F5-437C-9BF0-630D0CD99166}"/>
    <cellStyle name="標準" xfId="0" builtinId="0"/>
    <cellStyle name="標準 2" xfId="1" xr:uid="{9E8A8AEE-C5AE-4E43-8F52-07D8969A5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D440-38AA-4E0C-A061-0F2622273A7A}">
  <dimension ref="A1:AC221"/>
  <sheetViews>
    <sheetView tabSelected="1" zoomScale="102" zoomScaleNormal="100" workbookViewId="0">
      <selection activeCell="H12" sqref="H12"/>
    </sheetView>
  </sheetViews>
  <sheetFormatPr defaultRowHeight="18"/>
  <cols>
    <col min="1" max="1" width="11.77734375" customWidth="1"/>
    <col min="2" max="4" width="8.88671875" style="11"/>
    <col min="5" max="5" width="7.88671875" style="11" customWidth="1"/>
    <col min="6" max="8" width="8.88671875" style="11"/>
    <col min="9" max="9" width="10.5" style="11" customWidth="1"/>
    <col min="10" max="10" width="8.88671875" style="11"/>
    <col min="11" max="11" width="10.83203125" style="11" customWidth="1"/>
    <col min="12" max="13" width="8.88671875" style="11"/>
    <col min="14" max="14" width="6.27734375" style="11" customWidth="1"/>
    <col min="18" max="18" width="8.88671875" style="9"/>
    <col min="29" max="29" width="12.5546875" customWidth="1"/>
    <col min="124" max="124" width="10.77734375" customWidth="1"/>
    <col min="127" max="127" width="10.21875" customWidth="1"/>
    <col min="130" max="130" width="8" customWidth="1"/>
    <col min="131" max="131" width="12.38671875" customWidth="1"/>
    <col min="132" max="132" width="9.6640625" customWidth="1"/>
    <col min="134" max="271" width="10.6640625" customWidth="1"/>
  </cols>
  <sheetData>
    <row r="1" spans="1:23">
      <c r="B1" s="10" t="s">
        <v>1</v>
      </c>
      <c r="C1" s="10" t="s">
        <v>0</v>
      </c>
      <c r="D1" s="10" t="s">
        <v>12</v>
      </c>
      <c r="E1" s="10" t="s">
        <v>3</v>
      </c>
      <c r="F1" s="11" t="s">
        <v>20</v>
      </c>
      <c r="G1" s="11" t="s">
        <v>2</v>
      </c>
      <c r="H1" s="10" t="s">
        <v>25</v>
      </c>
      <c r="I1" s="10" t="s">
        <v>5</v>
      </c>
      <c r="J1" s="10" t="s">
        <v>23</v>
      </c>
      <c r="K1" s="10" t="s">
        <v>24</v>
      </c>
      <c r="L1" s="10" t="s">
        <v>18</v>
      </c>
      <c r="M1" s="10" t="s">
        <v>19</v>
      </c>
      <c r="N1" s="10" t="s">
        <v>4</v>
      </c>
    </row>
    <row r="2" spans="1:23">
      <c r="A2" s="2">
        <v>25569</v>
      </c>
      <c r="B2" s="16">
        <v>105.1</v>
      </c>
      <c r="C2" s="16">
        <v>157.30000000000001</v>
      </c>
      <c r="D2" s="16">
        <f t="shared" ref="D2:D26" si="0">C2-B2</f>
        <v>52.200000000000017</v>
      </c>
      <c r="E2" s="12">
        <v>1051.2</v>
      </c>
      <c r="F2" s="13">
        <f t="shared" ref="F2:F25" si="1">(C2-B2)/E2</f>
        <v>4.9657534246575354E-2</v>
      </c>
      <c r="G2" s="16">
        <v>3.9</v>
      </c>
      <c r="H2" s="16">
        <v>67.599999999999994</v>
      </c>
      <c r="I2" s="17">
        <f t="shared" ref="I2:I33" si="2">H2/E2</f>
        <v>6.4307458143074578E-2</v>
      </c>
      <c r="J2" s="18">
        <f t="shared" ref="J2:J33" si="3">D2-H2</f>
        <v>-15.399999999999977</v>
      </c>
      <c r="K2" s="17">
        <f t="shared" ref="K2:K33" si="4">J2/E2</f>
        <v>-1.4649923896499217E-2</v>
      </c>
      <c r="L2" s="11">
        <v>115.31333333333335</v>
      </c>
      <c r="N2" s="11">
        <f t="shared" ref="N2:N40" si="5">N3*(L2/L3)</f>
        <v>144.73962975054465</v>
      </c>
      <c r="T2" s="5"/>
      <c r="U2" s="5"/>
      <c r="V2" s="6"/>
      <c r="W2" s="3"/>
    </row>
    <row r="3" spans="1:23">
      <c r="A3" s="2">
        <v>25659</v>
      </c>
      <c r="B3" s="16">
        <v>103.4</v>
      </c>
      <c r="C3" s="16">
        <v>158.69999999999999</v>
      </c>
      <c r="D3" s="16">
        <f t="shared" si="0"/>
        <v>55.299999999999983</v>
      </c>
      <c r="E3" s="12">
        <v>1067.375</v>
      </c>
      <c r="F3" s="13">
        <f t="shared" si="1"/>
        <v>5.1809345356599118E-2</v>
      </c>
      <c r="G3" s="16">
        <v>5</v>
      </c>
      <c r="H3" s="16">
        <v>68.849999999999994</v>
      </c>
      <c r="I3" s="17">
        <f t="shared" si="2"/>
        <v>6.4504040285747744E-2</v>
      </c>
      <c r="J3" s="18">
        <f t="shared" si="3"/>
        <v>-13.550000000000011</v>
      </c>
      <c r="K3" s="17">
        <f t="shared" si="4"/>
        <v>-1.2694694929148622E-2</v>
      </c>
      <c r="L3" s="11">
        <v>115.65333333333335</v>
      </c>
      <c r="N3" s="11">
        <f t="shared" si="5"/>
        <v>145.16639283762782</v>
      </c>
      <c r="T3" s="5"/>
      <c r="U3" s="5"/>
      <c r="V3" s="6"/>
      <c r="W3" s="3"/>
    </row>
    <row r="4" spans="1:23">
      <c r="A4" s="2">
        <v>25750</v>
      </c>
      <c r="B4" s="16">
        <v>107.8</v>
      </c>
      <c r="C4" s="16">
        <v>161.19999999999999</v>
      </c>
      <c r="D4" s="16">
        <f t="shared" si="0"/>
        <v>53.399999999999991</v>
      </c>
      <c r="E4" s="12">
        <v>1086.059</v>
      </c>
      <c r="F4" s="13">
        <f t="shared" si="1"/>
        <v>4.9168599495975809E-2</v>
      </c>
      <c r="G4" s="16">
        <v>3.7</v>
      </c>
      <c r="H4" s="16">
        <v>69.774999999999991</v>
      </c>
      <c r="I4" s="17">
        <f t="shared" si="2"/>
        <v>6.4246049247784875E-2</v>
      </c>
      <c r="J4" s="18">
        <f t="shared" si="3"/>
        <v>-16.375</v>
      </c>
      <c r="K4" s="17">
        <f t="shared" si="4"/>
        <v>-1.5077449751809064E-2</v>
      </c>
      <c r="L4" s="11">
        <v>114.97666666666667</v>
      </c>
      <c r="N4" s="11">
        <f t="shared" si="5"/>
        <v>144.31705061529561</v>
      </c>
      <c r="T4" s="5"/>
      <c r="U4" s="5"/>
      <c r="V4" s="6"/>
      <c r="W4" s="3"/>
    </row>
    <row r="5" spans="1:23">
      <c r="A5" s="2">
        <v>25842</v>
      </c>
      <c r="B5" s="16">
        <v>112</v>
      </c>
      <c r="C5" s="16">
        <v>166.8</v>
      </c>
      <c r="D5" s="16">
        <f t="shared" si="0"/>
        <v>54.800000000000011</v>
      </c>
      <c r="E5" s="12">
        <v>1088.6079999999999</v>
      </c>
      <c r="F5" s="13">
        <f t="shared" si="1"/>
        <v>5.0339516152738191E-2</v>
      </c>
      <c r="G5" s="16">
        <v>2.2000000000000002</v>
      </c>
      <c r="H5" s="16">
        <v>70.324999999999989</v>
      </c>
      <c r="I5" s="17">
        <f t="shared" si="2"/>
        <v>6.4600848055498386E-2</v>
      </c>
      <c r="J5" s="18">
        <f t="shared" si="3"/>
        <v>-15.524999999999977</v>
      </c>
      <c r="K5" s="17">
        <f t="shared" si="4"/>
        <v>-1.4261331902760202E-2</v>
      </c>
      <c r="L5" s="11">
        <v>114.85666666666667</v>
      </c>
      <c r="N5" s="11">
        <f t="shared" si="5"/>
        <v>144.16642834926625</v>
      </c>
      <c r="T5" s="5"/>
      <c r="U5" s="5"/>
      <c r="V5" s="6"/>
      <c r="W5" s="3"/>
    </row>
    <row r="6" spans="1:23">
      <c r="A6" s="2">
        <v>25934</v>
      </c>
      <c r="B6" s="16">
        <v>118.8</v>
      </c>
      <c r="C6" s="16">
        <v>167.7</v>
      </c>
      <c r="D6" s="16">
        <f t="shared" si="0"/>
        <v>48.899999999999991</v>
      </c>
      <c r="E6" s="12">
        <v>1135.1559999999999</v>
      </c>
      <c r="F6" s="13">
        <f t="shared" si="1"/>
        <v>4.3077779617955586E-2</v>
      </c>
      <c r="G6" s="16">
        <v>4.5</v>
      </c>
      <c r="H6" s="16">
        <v>71.449999999999989</v>
      </c>
      <c r="I6" s="17">
        <f t="shared" si="2"/>
        <v>6.2942890668771512E-2</v>
      </c>
      <c r="J6" s="18">
        <f t="shared" si="3"/>
        <v>-22.549999999999997</v>
      </c>
      <c r="K6" s="17">
        <f t="shared" si="4"/>
        <v>-1.9865111050815922E-2</v>
      </c>
      <c r="L6" s="11">
        <v>113.51666666666665</v>
      </c>
      <c r="N6" s="11">
        <f t="shared" si="5"/>
        <v>142.48447971193841</v>
      </c>
      <c r="T6" s="5"/>
      <c r="U6" s="5"/>
      <c r="V6" s="6"/>
      <c r="W6" s="3"/>
    </row>
    <row r="7" spans="1:23">
      <c r="A7" s="2">
        <v>26024</v>
      </c>
      <c r="B7" s="16">
        <v>123.8</v>
      </c>
      <c r="C7" s="16">
        <v>171.1</v>
      </c>
      <c r="D7" s="16">
        <f t="shared" si="0"/>
        <v>47.3</v>
      </c>
      <c r="E7" s="12">
        <v>1156.271</v>
      </c>
      <c r="F7" s="13">
        <f t="shared" si="1"/>
        <v>4.0907365141908771E-2</v>
      </c>
      <c r="G7" s="16">
        <v>-0.1</v>
      </c>
      <c r="H7" s="16">
        <v>71.424999999999983</v>
      </c>
      <c r="I7" s="17">
        <f t="shared" si="2"/>
        <v>6.1771851062596903E-2</v>
      </c>
      <c r="J7" s="18">
        <f t="shared" si="3"/>
        <v>-24.124999999999986</v>
      </c>
      <c r="K7" s="17">
        <f t="shared" si="4"/>
        <v>-2.0864485920688132E-2</v>
      </c>
      <c r="L7" s="11">
        <v>113.24666666666667</v>
      </c>
      <c r="N7" s="11">
        <f t="shared" si="5"/>
        <v>142.14557961337238</v>
      </c>
      <c r="T7" s="5"/>
      <c r="U7" s="5"/>
      <c r="V7" s="6"/>
      <c r="W7" s="3"/>
    </row>
    <row r="8" spans="1:23">
      <c r="A8" s="2">
        <v>26115</v>
      </c>
      <c r="B8" s="16">
        <v>133.9</v>
      </c>
      <c r="C8" s="16">
        <v>173.5</v>
      </c>
      <c r="D8" s="16">
        <f t="shared" si="0"/>
        <v>39.599999999999994</v>
      </c>
      <c r="E8" s="12">
        <v>1177.675</v>
      </c>
      <c r="F8" s="13">
        <f t="shared" si="1"/>
        <v>3.362557581675759E-2</v>
      </c>
      <c r="G8" s="16">
        <v>0</v>
      </c>
      <c r="H8" s="16">
        <v>71.424999999999983</v>
      </c>
      <c r="I8" s="17">
        <f t="shared" si="2"/>
        <v>6.0649160422017949E-2</v>
      </c>
      <c r="J8" s="18">
        <f t="shared" si="3"/>
        <v>-31.824999999999989</v>
      </c>
      <c r="K8" s="17">
        <f t="shared" si="4"/>
        <v>-2.7023584605260356E-2</v>
      </c>
      <c r="L8" s="11">
        <v>112.46999999999998</v>
      </c>
      <c r="N8" s="11">
        <f t="shared" si="5"/>
        <v>141.17071883601568</v>
      </c>
      <c r="T8" s="5"/>
      <c r="U8" s="5"/>
      <c r="V8" s="6"/>
      <c r="W8" s="3"/>
    </row>
    <row r="9" spans="1:23">
      <c r="A9" s="2">
        <v>26207</v>
      </c>
      <c r="B9" s="16">
        <v>140.1</v>
      </c>
      <c r="C9" s="16">
        <v>181.3</v>
      </c>
      <c r="D9" s="16">
        <f t="shared" si="0"/>
        <v>41.200000000000017</v>
      </c>
      <c r="E9" s="12">
        <v>1190.297</v>
      </c>
      <c r="F9" s="13">
        <f t="shared" si="1"/>
        <v>3.4613209980366259E-2</v>
      </c>
      <c r="G9" s="16">
        <v>-3.1</v>
      </c>
      <c r="H9" s="16">
        <v>70.649999999999977</v>
      </c>
      <c r="I9" s="17">
        <f t="shared" si="2"/>
        <v>5.9354934104681414E-2</v>
      </c>
      <c r="J9" s="18">
        <f t="shared" si="3"/>
        <v>-29.44999999999996</v>
      </c>
      <c r="K9" s="17">
        <f t="shared" si="4"/>
        <v>-2.4741724124315159E-2</v>
      </c>
      <c r="L9" s="11">
        <v>108.65333333333335</v>
      </c>
      <c r="N9" s="11">
        <f t="shared" si="5"/>
        <v>136.38009398591529</v>
      </c>
      <c r="T9" s="5"/>
      <c r="U9" s="5"/>
      <c r="V9" s="6"/>
      <c r="W9" s="3"/>
    </row>
    <row r="10" spans="1:23">
      <c r="A10" s="2">
        <v>26299</v>
      </c>
      <c r="B10" s="16">
        <v>146.4</v>
      </c>
      <c r="C10" s="16">
        <v>181.7</v>
      </c>
      <c r="D10" s="16">
        <f t="shared" si="0"/>
        <v>35.299999999999983</v>
      </c>
      <c r="E10" s="12">
        <v>1230.6089999999999</v>
      </c>
      <c r="F10" s="13">
        <f t="shared" si="1"/>
        <v>2.8684984426410001E-2</v>
      </c>
      <c r="G10" s="16">
        <v>-5</v>
      </c>
      <c r="H10" s="16">
        <v>69.399999999999977</v>
      </c>
      <c r="I10" s="17">
        <f t="shared" si="2"/>
        <v>5.6394841903480292E-2</v>
      </c>
      <c r="J10" s="18">
        <f t="shared" si="3"/>
        <v>-34.099999999999994</v>
      </c>
      <c r="K10" s="17">
        <f t="shared" si="4"/>
        <v>-2.7709857477070294E-2</v>
      </c>
      <c r="L10" s="11">
        <v>104.89666666666666</v>
      </c>
      <c r="N10" s="11">
        <f t="shared" si="5"/>
        <v>131.66478026882956</v>
      </c>
      <c r="T10" s="5"/>
      <c r="U10" s="5"/>
      <c r="V10" s="6"/>
      <c r="W10" s="3"/>
    </row>
    <row r="11" spans="1:23">
      <c r="A11" s="2">
        <v>26390</v>
      </c>
      <c r="B11" s="16">
        <v>149.9</v>
      </c>
      <c r="C11" s="16">
        <v>184.6</v>
      </c>
      <c r="D11" s="16">
        <f t="shared" si="0"/>
        <v>34.699999999999989</v>
      </c>
      <c r="E11" s="12">
        <v>1266.3689999999999</v>
      </c>
      <c r="F11" s="13">
        <f t="shared" si="1"/>
        <v>2.7401176118493104E-2</v>
      </c>
      <c r="G11" s="16">
        <v>-4.8</v>
      </c>
      <c r="H11" s="16">
        <v>68.199999999999974</v>
      </c>
      <c r="I11" s="17">
        <f t="shared" si="2"/>
        <v>5.3854761132023907E-2</v>
      </c>
      <c r="J11" s="18">
        <f t="shared" si="3"/>
        <v>-33.499999999999986</v>
      </c>
      <c r="K11" s="17">
        <f t="shared" si="4"/>
        <v>-2.6453585013530803E-2</v>
      </c>
      <c r="L11" s="11">
        <v>103.5</v>
      </c>
      <c r="N11" s="11">
        <f t="shared" si="5"/>
        <v>129.9117044503212</v>
      </c>
      <c r="T11" s="5"/>
      <c r="U11" s="5"/>
      <c r="V11" s="6"/>
      <c r="W11" s="3"/>
    </row>
    <row r="12" spans="1:23">
      <c r="A12" s="2">
        <v>26481</v>
      </c>
      <c r="B12" s="16">
        <v>157.4</v>
      </c>
      <c r="C12" s="16">
        <v>187.5</v>
      </c>
      <c r="D12" s="16">
        <f t="shared" si="0"/>
        <v>30.099999999999994</v>
      </c>
      <c r="E12" s="12">
        <v>1290.566</v>
      </c>
      <c r="F12" s="13">
        <f t="shared" si="1"/>
        <v>2.3323100097166663E-2</v>
      </c>
      <c r="G12" s="16">
        <v>-3.6</v>
      </c>
      <c r="H12" s="16">
        <v>67.299999999999969</v>
      </c>
      <c r="I12" s="17">
        <f t="shared" si="2"/>
        <v>5.2147662343498873E-2</v>
      </c>
      <c r="J12" s="18">
        <f t="shared" si="3"/>
        <v>-37.199999999999974</v>
      </c>
      <c r="K12" s="17">
        <f t="shared" si="4"/>
        <v>-2.882456224633221E-2</v>
      </c>
      <c r="L12" s="11">
        <v>103.05333333333334</v>
      </c>
      <c r="N12" s="11">
        <f t="shared" si="5"/>
        <v>129.35105490454526</v>
      </c>
      <c r="T12" s="5"/>
      <c r="U12" s="5"/>
      <c r="V12" s="6"/>
      <c r="W12" s="3"/>
    </row>
    <row r="13" spans="1:23">
      <c r="A13" s="2">
        <v>26573</v>
      </c>
      <c r="B13" s="16">
        <v>166.8</v>
      </c>
      <c r="C13" s="16">
        <v>211.4</v>
      </c>
      <c r="D13" s="16">
        <f t="shared" si="0"/>
        <v>44.599999999999994</v>
      </c>
      <c r="E13" s="12">
        <v>1328.904</v>
      </c>
      <c r="F13" s="13">
        <f t="shared" si="1"/>
        <v>3.3561491274012263E-2</v>
      </c>
      <c r="G13" s="16">
        <v>-2.8</v>
      </c>
      <c r="H13" s="16">
        <v>66.599999999999966</v>
      </c>
      <c r="I13" s="17">
        <f t="shared" si="2"/>
        <v>5.011648696971336E-2</v>
      </c>
      <c r="J13" s="18">
        <f t="shared" si="3"/>
        <v>-21.999999999999972</v>
      </c>
      <c r="K13" s="17">
        <f t="shared" si="4"/>
        <v>-1.6554995695701097E-2</v>
      </c>
      <c r="L13" s="11">
        <v>103.53666666666668</v>
      </c>
      <c r="N13" s="11">
        <f t="shared" si="5"/>
        <v>129.95772792049684</v>
      </c>
      <c r="T13" s="5"/>
      <c r="U13" s="5"/>
      <c r="V13" s="6"/>
      <c r="W13" s="3"/>
    </row>
    <row r="14" spans="1:23">
      <c r="A14" s="2">
        <v>26665</v>
      </c>
      <c r="B14" s="16">
        <v>173.2</v>
      </c>
      <c r="C14" s="16">
        <v>199.4</v>
      </c>
      <c r="D14" s="16">
        <f t="shared" si="0"/>
        <v>26.200000000000017</v>
      </c>
      <c r="E14" s="12">
        <v>1377.49</v>
      </c>
      <c r="F14" s="13">
        <f t="shared" si="1"/>
        <v>1.9020101779323274E-2</v>
      </c>
      <c r="G14" s="16">
        <v>2.2000000000000002</v>
      </c>
      <c r="H14" s="16">
        <v>67.149999999999963</v>
      </c>
      <c r="I14" s="17">
        <f t="shared" si="2"/>
        <v>4.8748085285555583E-2</v>
      </c>
      <c r="J14" s="18">
        <f t="shared" si="3"/>
        <v>-40.949999999999946</v>
      </c>
      <c r="K14" s="17">
        <f t="shared" si="4"/>
        <v>-2.9727983506232309E-2</v>
      </c>
      <c r="L14" s="11">
        <v>99.356666666666669</v>
      </c>
      <c r="N14" s="11">
        <f t="shared" si="5"/>
        <v>124.71105232047418</v>
      </c>
      <c r="T14" s="5"/>
      <c r="U14" s="5"/>
      <c r="V14" s="6"/>
      <c r="W14" s="3"/>
    </row>
    <row r="15" spans="1:23">
      <c r="A15" s="2">
        <v>26755</v>
      </c>
      <c r="B15" s="16">
        <v>172.4</v>
      </c>
      <c r="C15" s="16">
        <v>204.1</v>
      </c>
      <c r="D15" s="16">
        <f t="shared" si="0"/>
        <v>31.699999999999989</v>
      </c>
      <c r="E15" s="12">
        <v>1413.8869999999999</v>
      </c>
      <c r="F15" s="13">
        <f t="shared" si="1"/>
        <v>2.2420462172719594E-2</v>
      </c>
      <c r="G15" s="16">
        <v>5.4</v>
      </c>
      <c r="H15" s="16">
        <v>68.499999999999957</v>
      </c>
      <c r="I15" s="17">
        <f t="shared" si="2"/>
        <v>4.8448001855876714E-2</v>
      </c>
      <c r="J15" s="18">
        <f t="shared" si="3"/>
        <v>-36.799999999999969</v>
      </c>
      <c r="K15" s="17">
        <f t="shared" si="4"/>
        <v>-2.602753968315712E-2</v>
      </c>
      <c r="L15" s="11">
        <v>94.806666666666672</v>
      </c>
      <c r="N15" s="11">
        <f t="shared" si="5"/>
        <v>118.99995806686104</v>
      </c>
      <c r="T15" s="5"/>
      <c r="U15" s="5"/>
      <c r="V15" s="6"/>
      <c r="W15" s="3"/>
    </row>
    <row r="16" spans="1:23">
      <c r="A16" s="2">
        <v>26846</v>
      </c>
      <c r="B16" s="16">
        <v>176.5</v>
      </c>
      <c r="C16" s="16">
        <v>206.2</v>
      </c>
      <c r="D16" s="16">
        <f t="shared" si="0"/>
        <v>29.699999999999989</v>
      </c>
      <c r="E16" s="12">
        <v>1433.838</v>
      </c>
      <c r="F16" s="13">
        <f t="shared" si="1"/>
        <v>2.071363710544705E-2</v>
      </c>
      <c r="G16" s="16">
        <v>12.5</v>
      </c>
      <c r="H16" s="16">
        <v>71.624999999999957</v>
      </c>
      <c r="I16" s="17">
        <f t="shared" si="2"/>
        <v>4.9953342009348305E-2</v>
      </c>
      <c r="J16" s="18">
        <f t="shared" si="3"/>
        <v>-41.924999999999969</v>
      </c>
      <c r="K16" s="17">
        <f t="shared" si="4"/>
        <v>-2.9239704903901258E-2</v>
      </c>
      <c r="L16" s="11">
        <v>92.293333333333337</v>
      </c>
      <c r="N16" s="11">
        <f t="shared" si="5"/>
        <v>115.84525838391282</v>
      </c>
      <c r="T16" s="5"/>
      <c r="U16" s="5"/>
      <c r="V16" s="6"/>
      <c r="W16" s="3"/>
    </row>
    <row r="17" spans="1:23">
      <c r="A17" s="2">
        <v>26938</v>
      </c>
      <c r="B17" s="16">
        <v>170.7</v>
      </c>
      <c r="C17" s="16">
        <v>220.2</v>
      </c>
      <c r="D17" s="16">
        <f t="shared" si="0"/>
        <v>49.5</v>
      </c>
      <c r="E17" s="12">
        <v>1476.289</v>
      </c>
      <c r="F17" s="13">
        <f t="shared" si="1"/>
        <v>3.3530020206070765E-2</v>
      </c>
      <c r="G17" s="16">
        <v>15.4</v>
      </c>
      <c r="H17" s="16">
        <v>75.474999999999952</v>
      </c>
      <c r="I17" s="17">
        <f t="shared" si="2"/>
        <v>5.1124813637438163E-2</v>
      </c>
      <c r="J17" s="18">
        <f t="shared" si="3"/>
        <v>-25.974999999999952</v>
      </c>
      <c r="K17" s="17">
        <f t="shared" si="4"/>
        <v>-1.7594793431367405E-2</v>
      </c>
      <c r="L17" s="11">
        <v>93.163333333333341</v>
      </c>
      <c r="N17" s="11">
        <f t="shared" si="5"/>
        <v>116.93726981262567</v>
      </c>
      <c r="T17" s="5"/>
      <c r="U17" s="5"/>
      <c r="V17" s="6"/>
      <c r="W17" s="3"/>
    </row>
    <row r="18" spans="1:23">
      <c r="A18" s="2">
        <v>27030</v>
      </c>
      <c r="B18" s="16">
        <v>177.5</v>
      </c>
      <c r="C18" s="16">
        <v>222.8</v>
      </c>
      <c r="D18" s="16">
        <f t="shared" si="0"/>
        <v>45.300000000000011</v>
      </c>
      <c r="E18" s="12">
        <v>1491.2090000000001</v>
      </c>
      <c r="F18" s="13">
        <f t="shared" si="1"/>
        <v>3.0378035540289797E-2</v>
      </c>
      <c r="G18" s="16">
        <v>16.5</v>
      </c>
      <c r="H18" s="16">
        <v>79.599999999999952</v>
      </c>
      <c r="I18" s="17">
        <f t="shared" si="2"/>
        <v>5.3379506159096375E-2</v>
      </c>
      <c r="J18" s="18">
        <f t="shared" si="3"/>
        <v>-34.29999999999994</v>
      </c>
      <c r="K18" s="17">
        <f t="shared" si="4"/>
        <v>-2.3001470618806578E-2</v>
      </c>
      <c r="L18" s="11">
        <v>92.913333333333341</v>
      </c>
      <c r="N18" s="11">
        <f t="shared" si="5"/>
        <v>116.62347342506452</v>
      </c>
      <c r="T18" s="5"/>
      <c r="U18" s="5"/>
      <c r="V18" s="6"/>
      <c r="W18" s="3"/>
    </row>
    <row r="19" spans="1:23">
      <c r="A19" s="2">
        <v>27120</v>
      </c>
      <c r="B19" s="16">
        <v>175</v>
      </c>
      <c r="C19" s="16">
        <v>228.8</v>
      </c>
      <c r="D19" s="16">
        <f t="shared" si="0"/>
        <v>53.800000000000011</v>
      </c>
      <c r="E19" s="12">
        <v>1530.056</v>
      </c>
      <c r="F19" s="13">
        <f t="shared" si="1"/>
        <v>3.5162111713558201E-2</v>
      </c>
      <c r="G19" s="16">
        <v>2.7</v>
      </c>
      <c r="H19" s="16">
        <v>80.274999999999949</v>
      </c>
      <c r="I19" s="17">
        <f t="shared" si="2"/>
        <v>5.2465399959217146E-2</v>
      </c>
      <c r="J19" s="18">
        <f t="shared" si="3"/>
        <v>-26.474999999999937</v>
      </c>
      <c r="K19" s="17">
        <f t="shared" si="4"/>
        <v>-1.7303288245658941E-2</v>
      </c>
      <c r="L19" s="11">
        <v>89.280000000000015</v>
      </c>
      <c r="N19" s="11">
        <f t="shared" si="5"/>
        <v>112.06296592584231</v>
      </c>
      <c r="T19" s="5"/>
      <c r="U19" s="5"/>
      <c r="V19" s="6"/>
      <c r="W19" s="3"/>
    </row>
    <row r="20" spans="1:23">
      <c r="A20" s="2">
        <v>27211</v>
      </c>
      <c r="B20" s="16">
        <v>175.2</v>
      </c>
      <c r="C20" s="16">
        <v>235.4</v>
      </c>
      <c r="D20" s="16">
        <f t="shared" si="0"/>
        <v>60.200000000000017</v>
      </c>
      <c r="E20" s="12">
        <v>1560.0260000000001</v>
      </c>
      <c r="F20" s="13">
        <f t="shared" si="1"/>
        <v>3.858910043806963E-2</v>
      </c>
      <c r="G20" s="16">
        <v>0.3</v>
      </c>
      <c r="H20" s="16">
        <v>80.349999999999952</v>
      </c>
      <c r="I20" s="17">
        <f t="shared" si="2"/>
        <v>5.1505551830546378E-2</v>
      </c>
      <c r="J20" s="18">
        <f t="shared" si="3"/>
        <v>-20.149999999999935</v>
      </c>
      <c r="K20" s="17">
        <f t="shared" si="4"/>
        <v>-1.291645139247675E-2</v>
      </c>
      <c r="L20" s="11">
        <v>91.256666666666661</v>
      </c>
      <c r="N20" s="11">
        <f t="shared" si="5"/>
        <v>114.54404936349253</v>
      </c>
      <c r="T20" s="5"/>
      <c r="U20" s="5"/>
      <c r="V20" s="6"/>
      <c r="W20" s="3"/>
    </row>
    <row r="21" spans="1:23">
      <c r="A21" s="2">
        <v>27303</v>
      </c>
      <c r="B21" s="16">
        <v>181.3</v>
      </c>
      <c r="C21" s="16">
        <v>245.2</v>
      </c>
      <c r="D21" s="16">
        <f t="shared" si="0"/>
        <v>63.899999999999977</v>
      </c>
      <c r="E21" s="12">
        <v>1599.6790000000001</v>
      </c>
      <c r="F21" s="13">
        <f t="shared" si="1"/>
        <v>3.9945514068760027E-2</v>
      </c>
      <c r="G21" s="16">
        <v>4.4000000000000004</v>
      </c>
      <c r="H21" s="16">
        <v>81.449999999999946</v>
      </c>
      <c r="I21" s="17">
        <f t="shared" si="2"/>
        <v>5.0916465115813825E-2</v>
      </c>
      <c r="J21" s="18">
        <f t="shared" si="3"/>
        <v>-17.549999999999969</v>
      </c>
      <c r="K21" s="17">
        <f t="shared" si="4"/>
        <v>-1.0970951047053795E-2</v>
      </c>
      <c r="L21" s="11">
        <v>90.766666666666666</v>
      </c>
      <c r="N21" s="11">
        <f t="shared" si="5"/>
        <v>113.92900844387266</v>
      </c>
      <c r="T21" s="5"/>
      <c r="U21" s="5"/>
      <c r="V21" s="6"/>
      <c r="W21" s="3"/>
    </row>
    <row r="22" spans="1:23">
      <c r="A22" s="2">
        <v>27395</v>
      </c>
      <c r="B22" s="16">
        <v>189.8</v>
      </c>
      <c r="C22" s="16">
        <v>255.5</v>
      </c>
      <c r="D22" s="16">
        <f t="shared" si="0"/>
        <v>65.699999999999989</v>
      </c>
      <c r="E22" s="12">
        <v>1616.116</v>
      </c>
      <c r="F22" s="13">
        <f t="shared" si="1"/>
        <v>4.0653022431558127E-2</v>
      </c>
      <c r="G22" s="16">
        <v>17.899999999999999</v>
      </c>
      <c r="H22" s="16">
        <v>85.92499999999994</v>
      </c>
      <c r="I22" s="17">
        <f t="shared" si="2"/>
        <v>5.3167594405352056E-2</v>
      </c>
      <c r="J22" s="18">
        <f t="shared" si="3"/>
        <v>-20.224999999999952</v>
      </c>
      <c r="K22" s="17">
        <f t="shared" si="4"/>
        <v>-1.2514571973793931E-2</v>
      </c>
      <c r="L22" s="11">
        <v>88.616666666666674</v>
      </c>
      <c r="N22" s="11">
        <f t="shared" si="5"/>
        <v>111.23035951084667</v>
      </c>
      <c r="T22" s="5"/>
      <c r="U22" s="5"/>
      <c r="V22" s="6"/>
      <c r="W22" s="3"/>
    </row>
    <row r="23" spans="1:23">
      <c r="A23" s="2">
        <v>27485</v>
      </c>
      <c r="B23" s="16">
        <v>192.9</v>
      </c>
      <c r="C23" s="16">
        <v>261.60000000000002</v>
      </c>
      <c r="D23" s="16">
        <f t="shared" si="0"/>
        <v>68.700000000000017</v>
      </c>
      <c r="E23" s="12">
        <v>1651.8530000000001</v>
      </c>
      <c r="F23" s="13">
        <f t="shared" si="1"/>
        <v>4.1589657191045459E-2</v>
      </c>
      <c r="G23" s="16">
        <v>21.5</v>
      </c>
      <c r="H23" s="16">
        <v>91.29999999999994</v>
      </c>
      <c r="I23" s="17">
        <f t="shared" si="2"/>
        <v>5.5271262031185549E-2</v>
      </c>
      <c r="J23" s="18">
        <f t="shared" si="3"/>
        <v>-22.599999999999923</v>
      </c>
      <c r="K23" s="17">
        <f t="shared" si="4"/>
        <v>-1.3681604840140086E-2</v>
      </c>
      <c r="L23" s="11">
        <v>87.873333333333335</v>
      </c>
      <c r="N23" s="11">
        <f t="shared" si="5"/>
        <v>110.29733825183148</v>
      </c>
      <c r="T23" s="5"/>
      <c r="U23" s="5"/>
      <c r="V23" s="6"/>
      <c r="W23" s="3"/>
    </row>
    <row r="24" spans="1:23">
      <c r="A24" s="2">
        <v>27576</v>
      </c>
      <c r="B24" s="16">
        <v>192.2</v>
      </c>
      <c r="C24" s="16">
        <v>264.7</v>
      </c>
      <c r="D24" s="16">
        <f t="shared" si="0"/>
        <v>72.5</v>
      </c>
      <c r="E24" s="12">
        <v>1709.82</v>
      </c>
      <c r="F24" s="13">
        <f t="shared" si="1"/>
        <v>4.240212420020821E-2</v>
      </c>
      <c r="G24" s="16">
        <v>18.399999999999999</v>
      </c>
      <c r="H24" s="16">
        <v>95.899999999999935</v>
      </c>
      <c r="I24" s="17">
        <f t="shared" si="2"/>
        <v>5.6087775321378826E-2</v>
      </c>
      <c r="J24" s="18">
        <f t="shared" si="3"/>
        <v>-23.399999999999935</v>
      </c>
      <c r="K24" s="17">
        <f t="shared" si="4"/>
        <v>-1.3685651121170612E-2</v>
      </c>
      <c r="L24" s="11">
        <v>90.796666666666667</v>
      </c>
      <c r="N24" s="11">
        <f t="shared" si="5"/>
        <v>113.96666401038</v>
      </c>
      <c r="T24" s="5"/>
      <c r="U24" s="5"/>
      <c r="V24" s="6"/>
      <c r="W24" s="3"/>
    </row>
    <row r="25" spans="1:23">
      <c r="A25" s="2">
        <v>27668</v>
      </c>
      <c r="B25" s="16">
        <v>195.8</v>
      </c>
      <c r="C25" s="16">
        <v>275.7</v>
      </c>
      <c r="D25" s="16">
        <f t="shared" si="0"/>
        <v>79.899999999999977</v>
      </c>
      <c r="E25" s="12">
        <v>1761.8309999999999</v>
      </c>
      <c r="F25" s="13">
        <f t="shared" si="1"/>
        <v>4.5350547243180522E-2</v>
      </c>
      <c r="G25" s="16">
        <v>21.6</v>
      </c>
      <c r="H25" s="16">
        <v>101.29999999999994</v>
      </c>
      <c r="I25" s="17">
        <f t="shared" si="2"/>
        <v>5.7497001698800822E-2</v>
      </c>
      <c r="J25" s="18">
        <f t="shared" si="3"/>
        <v>-21.399999999999963</v>
      </c>
      <c r="K25" s="17">
        <f t="shared" si="4"/>
        <v>-1.2146454455620298E-2</v>
      </c>
      <c r="L25" s="11">
        <v>91.216666666666654</v>
      </c>
      <c r="N25" s="11">
        <f t="shared" si="5"/>
        <v>114.49384194148274</v>
      </c>
      <c r="T25" s="5"/>
      <c r="U25" s="5"/>
      <c r="V25" s="6"/>
      <c r="W25" s="3"/>
    </row>
    <row r="26" spans="1:23">
      <c r="A26" s="2">
        <v>27760</v>
      </c>
      <c r="B26" s="16">
        <v>204.4</v>
      </c>
      <c r="C26" s="16">
        <v>284.89999999999998</v>
      </c>
      <c r="D26" s="16">
        <f t="shared" si="0"/>
        <v>80.499999999999972</v>
      </c>
      <c r="E26" s="12">
        <v>1820.4870000000001</v>
      </c>
      <c r="F26" s="13">
        <f t="shared" ref="F26:F89" si="6">(C26-B26)/E26</f>
        <v>4.421893702069829E-2</v>
      </c>
      <c r="G26" s="16">
        <v>13.2</v>
      </c>
      <c r="H26" s="16">
        <v>104.59999999999994</v>
      </c>
      <c r="I26" s="17">
        <f t="shared" si="2"/>
        <v>5.7457152948634037E-2</v>
      </c>
      <c r="J26" s="18">
        <f t="shared" si="3"/>
        <v>-24.099999999999966</v>
      </c>
      <c r="K26" s="17">
        <f t="shared" si="4"/>
        <v>-1.3238215927935747E-2</v>
      </c>
      <c r="L26" s="11">
        <v>90.09333333333332</v>
      </c>
      <c r="N26" s="11">
        <f t="shared" si="5"/>
        <v>113.0838501733746</v>
      </c>
      <c r="T26" s="5"/>
      <c r="U26" s="5"/>
      <c r="V26" s="6"/>
      <c r="W26" s="3"/>
    </row>
    <row r="27" spans="1:23">
      <c r="A27" s="2">
        <v>27851</v>
      </c>
      <c r="B27" s="16">
        <v>203.7</v>
      </c>
      <c r="C27" s="16">
        <v>292.7</v>
      </c>
      <c r="D27" s="16">
        <f t="shared" ref="D27:D90" si="7">C27-B27</f>
        <v>89</v>
      </c>
      <c r="E27" s="12">
        <v>1852.3320000000001</v>
      </c>
      <c r="F27" s="13">
        <f t="shared" si="6"/>
        <v>4.8047542233249758E-2</v>
      </c>
      <c r="G27" s="16">
        <v>9</v>
      </c>
      <c r="H27" s="16">
        <v>106.84999999999994</v>
      </c>
      <c r="I27" s="17">
        <f t="shared" si="2"/>
        <v>5.7684043681154311E-2</v>
      </c>
      <c r="J27" s="18">
        <f t="shared" si="3"/>
        <v>-17.849999999999937</v>
      </c>
      <c r="K27" s="17">
        <f t="shared" si="4"/>
        <v>-9.6365014479045524E-3</v>
      </c>
      <c r="L27" s="11">
        <v>89.836666666666659</v>
      </c>
      <c r="N27" s="11">
        <f t="shared" si="5"/>
        <v>112.76168588214514</v>
      </c>
      <c r="T27" s="5"/>
      <c r="U27" s="5"/>
      <c r="V27" s="6"/>
      <c r="W27" s="3"/>
    </row>
    <row r="28" spans="1:23">
      <c r="A28" s="2">
        <v>27942</v>
      </c>
      <c r="B28" s="16">
        <v>214.5</v>
      </c>
      <c r="C28" s="16">
        <v>299.39999999999998</v>
      </c>
      <c r="D28" s="16">
        <f t="shared" si="7"/>
        <v>84.899999999999977</v>
      </c>
      <c r="E28" s="12">
        <v>1886.558</v>
      </c>
      <c r="F28" s="13">
        <f t="shared" si="6"/>
        <v>4.5002592022084655E-2</v>
      </c>
      <c r="G28" s="16">
        <v>2.4</v>
      </c>
      <c r="H28" s="16">
        <v>107.44999999999993</v>
      </c>
      <c r="I28" s="17">
        <f t="shared" si="2"/>
        <v>5.6955577300035268E-2</v>
      </c>
      <c r="J28" s="18">
        <f t="shared" si="3"/>
        <v>-22.549999999999955</v>
      </c>
      <c r="K28" s="17">
        <f t="shared" si="4"/>
        <v>-1.1952985277950615E-2</v>
      </c>
      <c r="L28" s="11">
        <v>90.296666666666667</v>
      </c>
      <c r="N28" s="11">
        <f t="shared" si="5"/>
        <v>113.33907123525769</v>
      </c>
      <c r="T28" s="5"/>
      <c r="U28" s="5"/>
      <c r="V28" s="6"/>
      <c r="W28" s="3"/>
    </row>
    <row r="29" spans="1:23">
      <c r="A29" s="2">
        <v>28034</v>
      </c>
      <c r="B29" s="16">
        <v>247.2</v>
      </c>
      <c r="C29" s="16">
        <v>367</v>
      </c>
      <c r="D29" s="16">
        <f t="shared" si="7"/>
        <v>119.80000000000001</v>
      </c>
      <c r="E29" s="12">
        <v>1934.2729999999999</v>
      </c>
      <c r="F29" s="13">
        <f t="shared" si="6"/>
        <v>6.1935414494231178E-2</v>
      </c>
      <c r="G29" s="16">
        <v>3.8</v>
      </c>
      <c r="H29" s="16">
        <v>108.39999999999993</v>
      </c>
      <c r="I29" s="17">
        <f t="shared" si="2"/>
        <v>5.604172730529762E-2</v>
      </c>
      <c r="J29" s="18">
        <f t="shared" si="3"/>
        <v>11.400000000000077</v>
      </c>
      <c r="K29" s="17">
        <f t="shared" si="4"/>
        <v>5.8936871889335562E-3</v>
      </c>
      <c r="L29" s="11">
        <v>91.87</v>
      </c>
      <c r="N29" s="11">
        <f t="shared" si="5"/>
        <v>115.31389650097594</v>
      </c>
      <c r="T29" s="5"/>
      <c r="U29" s="5"/>
      <c r="V29" s="6"/>
      <c r="W29" s="3"/>
    </row>
    <row r="30" spans="1:23">
      <c r="A30" s="2">
        <v>28126</v>
      </c>
      <c r="B30" s="16">
        <v>251.9</v>
      </c>
      <c r="C30" s="16">
        <v>372.1</v>
      </c>
      <c r="D30" s="16">
        <f t="shared" si="7"/>
        <v>120.20000000000002</v>
      </c>
      <c r="E30" s="12">
        <v>1988.6479999999999</v>
      </c>
      <c r="F30" s="13">
        <f t="shared" si="6"/>
        <v>6.044307489309321E-2</v>
      </c>
      <c r="G30" s="16">
        <v>-8</v>
      </c>
      <c r="H30" s="16">
        <v>106.39999999999993</v>
      </c>
      <c r="I30" s="17">
        <f t="shared" si="2"/>
        <v>5.3503686926997605E-2</v>
      </c>
      <c r="J30" s="18">
        <f t="shared" si="3"/>
        <v>13.800000000000082</v>
      </c>
      <c r="K30" s="17">
        <f t="shared" si="4"/>
        <v>6.9393879660956002E-3</v>
      </c>
      <c r="L30" s="11">
        <v>90.660000000000011</v>
      </c>
      <c r="N30" s="11">
        <f t="shared" si="5"/>
        <v>113.79512198517993</v>
      </c>
      <c r="T30" s="5"/>
      <c r="U30" s="5"/>
      <c r="V30" s="6"/>
      <c r="W30" s="3"/>
    </row>
    <row r="31" spans="1:23">
      <c r="A31" s="2">
        <v>28216</v>
      </c>
      <c r="B31" s="16">
        <v>262.10000000000002</v>
      </c>
      <c r="C31" s="16">
        <v>380.5</v>
      </c>
      <c r="D31" s="16">
        <f t="shared" si="7"/>
        <v>118.39999999999998</v>
      </c>
      <c r="E31" s="12">
        <v>2055.9090000000001</v>
      </c>
      <c r="F31" s="13">
        <f t="shared" si="6"/>
        <v>5.7590097616188253E-2</v>
      </c>
      <c r="G31" s="16">
        <v>-8.8000000000000007</v>
      </c>
      <c r="H31" s="16">
        <v>104.19999999999993</v>
      </c>
      <c r="I31" s="17">
        <f t="shared" si="2"/>
        <v>5.0683177125057544E-2</v>
      </c>
      <c r="J31" s="18">
        <f t="shared" si="3"/>
        <v>14.200000000000045</v>
      </c>
      <c r="K31" s="17">
        <f t="shared" si="4"/>
        <v>6.9069204911307086E-3</v>
      </c>
      <c r="L31" s="11">
        <v>89.896666666666661</v>
      </c>
      <c r="N31" s="11">
        <f t="shared" si="5"/>
        <v>112.83699701515982</v>
      </c>
      <c r="T31" s="5"/>
      <c r="U31" s="5"/>
      <c r="V31" s="6"/>
      <c r="W31" s="3"/>
    </row>
    <row r="32" spans="1:23">
      <c r="A32" s="2">
        <v>28307</v>
      </c>
      <c r="B32" s="16">
        <v>275.89999999999998</v>
      </c>
      <c r="C32" s="16">
        <v>386.3</v>
      </c>
      <c r="D32" s="16">
        <f t="shared" si="7"/>
        <v>110.40000000000003</v>
      </c>
      <c r="E32" s="12">
        <v>2118.473</v>
      </c>
      <c r="F32" s="13">
        <f t="shared" si="6"/>
        <v>5.2113007812702845E-2</v>
      </c>
      <c r="G32" s="16">
        <v>-7.9</v>
      </c>
      <c r="H32" s="16">
        <v>102.22499999999994</v>
      </c>
      <c r="I32" s="17">
        <f t="shared" si="2"/>
        <v>4.8254096228745866E-2</v>
      </c>
      <c r="J32" s="18">
        <f t="shared" si="3"/>
        <v>8.1750000000000966</v>
      </c>
      <c r="K32" s="17">
        <f t="shared" si="4"/>
        <v>3.8589115839569809E-3</v>
      </c>
      <c r="L32" s="11">
        <v>88.62</v>
      </c>
      <c r="N32" s="11">
        <f t="shared" si="5"/>
        <v>111.23454346268083</v>
      </c>
      <c r="T32" s="5"/>
      <c r="U32" s="5"/>
      <c r="V32" s="6"/>
      <c r="W32" s="3"/>
    </row>
    <row r="33" spans="1:23">
      <c r="A33" s="2">
        <v>28399</v>
      </c>
      <c r="B33" s="16">
        <v>292.5</v>
      </c>
      <c r="C33" s="16">
        <v>405.5</v>
      </c>
      <c r="D33" s="16">
        <f t="shared" si="7"/>
        <v>113</v>
      </c>
      <c r="E33" s="12">
        <v>2164.27</v>
      </c>
      <c r="F33" s="13">
        <f t="shared" si="6"/>
        <v>5.2211600216239197E-2</v>
      </c>
      <c r="G33" s="16">
        <v>-18.899999999999999</v>
      </c>
      <c r="H33" s="16">
        <v>97.499999999999943</v>
      </c>
      <c r="I33" s="17">
        <f t="shared" si="2"/>
        <v>4.5049832044985118E-2</v>
      </c>
      <c r="J33" s="18">
        <f t="shared" si="3"/>
        <v>15.500000000000057</v>
      </c>
      <c r="K33" s="17">
        <f t="shared" si="4"/>
        <v>7.1617681712540749E-3</v>
      </c>
      <c r="L33" s="11">
        <v>86.356666666666683</v>
      </c>
      <c r="N33" s="11">
        <f t="shared" si="5"/>
        <v>108.3936401672938</v>
      </c>
      <c r="T33" s="5"/>
      <c r="U33" s="5"/>
      <c r="V33" s="6"/>
      <c r="W33" s="3"/>
    </row>
    <row r="34" spans="1:23">
      <c r="A34" s="2">
        <v>28491</v>
      </c>
      <c r="B34" s="16">
        <v>303.5</v>
      </c>
      <c r="C34" s="16">
        <v>416.6</v>
      </c>
      <c r="D34" s="16">
        <f t="shared" si="7"/>
        <v>113.10000000000002</v>
      </c>
      <c r="E34" s="12">
        <v>2202.7600000000002</v>
      </c>
      <c r="F34" s="13">
        <f t="shared" si="6"/>
        <v>5.1344676678348987E-2</v>
      </c>
      <c r="G34" s="16">
        <v>-25</v>
      </c>
      <c r="H34" s="16">
        <v>91.249999999999943</v>
      </c>
      <c r="I34" s="17">
        <f t="shared" ref="I34:I65" si="8">H34/E34</f>
        <v>4.1425302801939352E-2</v>
      </c>
      <c r="J34" s="18">
        <f t="shared" ref="J34:J65" si="9">D34-H34</f>
        <v>21.85000000000008</v>
      </c>
      <c r="K34" s="17">
        <f t="shared" ref="K34:K65" si="10">J34/E34</f>
        <v>9.9193738764096311E-3</v>
      </c>
      <c r="L34" s="11">
        <v>83.95</v>
      </c>
      <c r="N34" s="11">
        <f t="shared" si="5"/>
        <v>105.37282694303832</v>
      </c>
      <c r="T34" s="5"/>
      <c r="U34" s="5"/>
      <c r="V34" s="6"/>
      <c r="W34" s="3"/>
    </row>
    <row r="35" spans="1:23">
      <c r="A35" s="2">
        <v>28581</v>
      </c>
      <c r="B35" s="16">
        <v>312.5</v>
      </c>
      <c r="C35" s="16">
        <v>423.8</v>
      </c>
      <c r="D35" s="16">
        <f t="shared" si="7"/>
        <v>111.30000000000001</v>
      </c>
      <c r="E35" s="12">
        <v>2331.6329999999998</v>
      </c>
      <c r="F35" s="13">
        <f t="shared" si="6"/>
        <v>4.7734785019769417E-2</v>
      </c>
      <c r="G35" s="16">
        <v>-12.9</v>
      </c>
      <c r="H35" s="16">
        <v>88.024999999999949</v>
      </c>
      <c r="I35" s="17">
        <f t="shared" si="8"/>
        <v>3.7752510793937107E-2</v>
      </c>
      <c r="J35" s="18">
        <f t="shared" si="9"/>
        <v>23.275000000000063</v>
      </c>
      <c r="K35" s="17">
        <f t="shared" si="10"/>
        <v>9.9822742258323088E-3</v>
      </c>
      <c r="L35" s="11">
        <v>83.226666666666674</v>
      </c>
      <c r="N35" s="11">
        <f t="shared" si="5"/>
        <v>104.46490939502803</v>
      </c>
      <c r="T35" s="5"/>
      <c r="U35" s="5"/>
      <c r="V35" s="6"/>
      <c r="W35" s="3"/>
    </row>
    <row r="36" spans="1:23">
      <c r="A36" s="2">
        <v>28672</v>
      </c>
      <c r="B36" s="16">
        <v>331.8</v>
      </c>
      <c r="C36" s="16">
        <v>429</v>
      </c>
      <c r="D36" s="16">
        <f t="shared" si="7"/>
        <v>97.199999999999989</v>
      </c>
      <c r="E36" s="12">
        <v>2395.0529999999999</v>
      </c>
      <c r="F36" s="13">
        <f t="shared" si="6"/>
        <v>4.0583653054859323E-2</v>
      </c>
      <c r="G36" s="16">
        <v>-11.4</v>
      </c>
      <c r="H36" s="16">
        <v>85.174999999999955</v>
      </c>
      <c r="I36" s="17">
        <f t="shared" si="8"/>
        <v>3.5562887334852279E-2</v>
      </c>
      <c r="J36" s="18">
        <f t="shared" si="9"/>
        <v>12.025000000000034</v>
      </c>
      <c r="K36" s="17">
        <f t="shared" si="10"/>
        <v>5.0207657200070453E-3</v>
      </c>
      <c r="L36" s="11">
        <v>79.850000000000009</v>
      </c>
      <c r="N36" s="11">
        <f t="shared" si="5"/>
        <v>100.22656618703526</v>
      </c>
      <c r="T36" s="5"/>
      <c r="U36" s="5"/>
      <c r="V36" s="6"/>
      <c r="W36" s="3"/>
    </row>
    <row r="37" spans="1:23">
      <c r="A37" s="2">
        <v>28764</v>
      </c>
      <c r="B37" s="16">
        <v>339.4</v>
      </c>
      <c r="C37" s="16">
        <v>474.2</v>
      </c>
      <c r="D37" s="16">
        <f t="shared" si="7"/>
        <v>134.80000000000001</v>
      </c>
      <c r="E37" s="12">
        <v>2476.9490000000001</v>
      </c>
      <c r="F37" s="13">
        <f t="shared" si="6"/>
        <v>5.4421790678774576E-2</v>
      </c>
      <c r="G37" s="16">
        <v>-1.3</v>
      </c>
      <c r="H37" s="16">
        <v>84.849999999999952</v>
      </c>
      <c r="I37" s="17">
        <f t="shared" si="8"/>
        <v>3.4255852663902221E-2</v>
      </c>
      <c r="J37" s="18">
        <f t="shared" si="9"/>
        <v>49.95000000000006</v>
      </c>
      <c r="K37" s="17">
        <f t="shared" si="10"/>
        <v>2.0165938014872351E-2</v>
      </c>
      <c r="L37" s="11">
        <v>79.443333333333342</v>
      </c>
      <c r="N37" s="11">
        <f t="shared" si="5"/>
        <v>99.716124063269092</v>
      </c>
      <c r="T37" s="5"/>
      <c r="U37" s="5"/>
      <c r="V37" s="6"/>
      <c r="W37" s="3"/>
    </row>
    <row r="38" spans="1:23">
      <c r="A38" s="2">
        <v>28856</v>
      </c>
      <c r="B38" s="16">
        <v>359.7</v>
      </c>
      <c r="C38" s="16">
        <v>491.8</v>
      </c>
      <c r="D38" s="16">
        <f t="shared" si="7"/>
        <v>132.10000000000002</v>
      </c>
      <c r="E38" s="12">
        <v>2526.61</v>
      </c>
      <c r="F38" s="13">
        <f t="shared" si="6"/>
        <v>5.2283494484704811E-2</v>
      </c>
      <c r="G38" s="16">
        <v>-1.8</v>
      </c>
      <c r="H38" s="16">
        <v>84.399999999999949</v>
      </c>
      <c r="I38" s="17">
        <f t="shared" si="8"/>
        <v>3.3404443107563075E-2</v>
      </c>
      <c r="J38" s="18">
        <f t="shared" si="9"/>
        <v>47.700000000000074</v>
      </c>
      <c r="K38" s="17">
        <f t="shared" si="10"/>
        <v>1.8879051377141732E-2</v>
      </c>
      <c r="L38" s="11">
        <v>80.850000000000009</v>
      </c>
      <c r="N38" s="11">
        <f t="shared" si="5"/>
        <v>101.48175173727989</v>
      </c>
      <c r="T38" s="5"/>
      <c r="U38" s="5"/>
      <c r="V38" s="6"/>
      <c r="W38" s="3"/>
    </row>
    <row r="39" spans="1:23">
      <c r="A39" s="2">
        <v>28946</v>
      </c>
      <c r="B39" s="16">
        <v>361.6</v>
      </c>
      <c r="C39" s="16">
        <v>503.5</v>
      </c>
      <c r="D39" s="16">
        <f t="shared" si="7"/>
        <v>141.89999999999998</v>
      </c>
      <c r="E39" s="12">
        <v>2591.2469999999998</v>
      </c>
      <c r="F39" s="13">
        <f t="shared" si="6"/>
        <v>5.4761279028977164E-2</v>
      </c>
      <c r="G39" s="16">
        <v>-2.7</v>
      </c>
      <c r="H39" s="16">
        <v>83.724999999999952</v>
      </c>
      <c r="I39" s="17">
        <f t="shared" si="8"/>
        <v>3.2310698285420089E-2</v>
      </c>
      <c r="J39" s="18">
        <f t="shared" si="9"/>
        <v>58.175000000000026</v>
      </c>
      <c r="K39" s="17">
        <f t="shared" si="10"/>
        <v>2.2450580743557071E-2</v>
      </c>
      <c r="L39" s="11">
        <v>82.77</v>
      </c>
      <c r="N39" s="11">
        <f t="shared" si="5"/>
        <v>103.89170799374961</v>
      </c>
      <c r="T39" s="5"/>
      <c r="U39" s="5"/>
      <c r="V39" s="6"/>
      <c r="W39" s="3"/>
    </row>
    <row r="40" spans="1:23">
      <c r="A40" s="2">
        <v>29037</v>
      </c>
      <c r="B40" s="16">
        <v>385.9</v>
      </c>
      <c r="C40" s="16">
        <v>527.29999999999995</v>
      </c>
      <c r="D40" s="16">
        <f t="shared" si="7"/>
        <v>141.39999999999998</v>
      </c>
      <c r="E40" s="12">
        <v>2667.5650000000001</v>
      </c>
      <c r="F40" s="13">
        <f t="shared" si="6"/>
        <v>5.3007143218628212E-2</v>
      </c>
      <c r="G40" s="16">
        <v>2.4</v>
      </c>
      <c r="H40" s="16">
        <v>84.324999999999946</v>
      </c>
      <c r="I40" s="17">
        <f t="shared" si="8"/>
        <v>3.1611225968251923E-2</v>
      </c>
      <c r="J40" s="18">
        <f t="shared" si="9"/>
        <v>57.075000000000031</v>
      </c>
      <c r="K40" s="17">
        <f t="shared" si="10"/>
        <v>2.139591725037629E-2</v>
      </c>
      <c r="L40" s="11">
        <v>82.32</v>
      </c>
      <c r="N40" s="11">
        <f t="shared" si="5"/>
        <v>103.32687449613952</v>
      </c>
      <c r="T40" s="5"/>
      <c r="U40" s="5"/>
      <c r="V40" s="6"/>
      <c r="W40" s="3"/>
    </row>
    <row r="41" spans="1:23">
      <c r="A41" s="2">
        <v>29129</v>
      </c>
      <c r="B41" s="16">
        <v>390.9</v>
      </c>
      <c r="C41" s="16">
        <v>566.9</v>
      </c>
      <c r="D41" s="16">
        <f t="shared" si="7"/>
        <v>176</v>
      </c>
      <c r="E41" s="12">
        <v>2723.8829999999998</v>
      </c>
      <c r="F41" s="13">
        <f t="shared" si="6"/>
        <v>6.4613641628513421E-2</v>
      </c>
      <c r="G41" s="16">
        <v>-2.6</v>
      </c>
      <c r="H41" s="16">
        <v>83.67499999999994</v>
      </c>
      <c r="I41" s="17">
        <f t="shared" si="8"/>
        <v>3.0719013995828728E-2</v>
      </c>
      <c r="J41" s="18">
        <f t="shared" si="9"/>
        <v>92.32500000000006</v>
      </c>
      <c r="K41" s="17">
        <f t="shared" si="10"/>
        <v>3.3894627632684686E-2</v>
      </c>
      <c r="L41" s="11">
        <v>84.326666666666668</v>
      </c>
      <c r="N41" s="11">
        <f>N42*(L41/L42)</f>
        <v>105.84561350029713</v>
      </c>
      <c r="T41" s="5"/>
      <c r="U41" s="5"/>
      <c r="V41" s="6"/>
      <c r="W41" s="3"/>
    </row>
    <row r="42" spans="1:23">
      <c r="A42" s="2">
        <v>29221</v>
      </c>
      <c r="B42" s="16">
        <v>404.2</v>
      </c>
      <c r="C42" s="16">
        <v>582.5</v>
      </c>
      <c r="D42" s="16">
        <f t="shared" si="7"/>
        <v>178.3</v>
      </c>
      <c r="E42" s="12">
        <v>2789.8420000000001</v>
      </c>
      <c r="F42" s="13">
        <f t="shared" si="6"/>
        <v>6.3910429336141619E-2</v>
      </c>
      <c r="G42" s="16">
        <v>-10.7</v>
      </c>
      <c r="H42" s="16">
        <v>80.999999999999943</v>
      </c>
      <c r="I42" s="17">
        <f t="shared" si="8"/>
        <v>2.9033902278336889E-2</v>
      </c>
      <c r="J42" s="18">
        <f t="shared" si="9"/>
        <v>97.300000000000068</v>
      </c>
      <c r="K42" s="17">
        <f t="shared" si="10"/>
        <v>3.4876527057804731E-2</v>
      </c>
      <c r="L42" s="11">
        <v>85.286666666666676</v>
      </c>
      <c r="M42" s="14">
        <v>107.050591628532</v>
      </c>
      <c r="N42" s="15">
        <f>M42</f>
        <v>107.050591628532</v>
      </c>
      <c r="T42" s="5"/>
      <c r="U42" s="5"/>
      <c r="V42" s="6"/>
      <c r="W42" s="3"/>
    </row>
    <row r="43" spans="1:23">
      <c r="A43" s="2">
        <v>29312</v>
      </c>
      <c r="B43" s="16">
        <v>413.7</v>
      </c>
      <c r="C43" s="16">
        <v>598.9</v>
      </c>
      <c r="D43" s="16">
        <f t="shared" si="7"/>
        <v>185.2</v>
      </c>
      <c r="E43" s="12">
        <v>2797.3519999999999</v>
      </c>
      <c r="F43" s="13">
        <f t="shared" si="6"/>
        <v>6.6205468600304865E-2</v>
      </c>
      <c r="G43" s="16">
        <v>9.8000000000000007</v>
      </c>
      <c r="H43" s="16">
        <v>83.449999999999946</v>
      </c>
      <c r="I43" s="17">
        <f t="shared" si="8"/>
        <v>2.9831783772653549E-2</v>
      </c>
      <c r="J43" s="18">
        <f t="shared" si="9"/>
        <v>101.75000000000004</v>
      </c>
      <c r="K43" s="17">
        <f t="shared" si="10"/>
        <v>3.6373684827651312E-2</v>
      </c>
      <c r="L43" s="11">
        <v>85.023333333333326</v>
      </c>
      <c r="M43" s="14">
        <v>107.101601937513</v>
      </c>
      <c r="N43" s="15">
        <f t="shared" ref="N43:N106" si="11">M43</f>
        <v>107.101601937513</v>
      </c>
      <c r="T43" s="5"/>
      <c r="U43" s="5"/>
      <c r="V43" s="6"/>
      <c r="W43" s="3"/>
    </row>
    <row r="44" spans="1:23">
      <c r="A44" s="2">
        <v>29403</v>
      </c>
      <c r="B44" s="16">
        <v>421.6</v>
      </c>
      <c r="C44" s="16">
        <v>610.79999999999995</v>
      </c>
      <c r="D44" s="16">
        <f t="shared" si="7"/>
        <v>189.19999999999993</v>
      </c>
      <c r="E44" s="12">
        <v>2856.4830000000002</v>
      </c>
      <c r="F44" s="13">
        <f t="shared" si="6"/>
        <v>6.6235297041851784E-2</v>
      </c>
      <c r="G44" s="16">
        <v>28.2</v>
      </c>
      <c r="H44" s="16">
        <v>90.499999999999943</v>
      </c>
      <c r="I44" s="17">
        <f t="shared" si="8"/>
        <v>3.1682317031118318E-2</v>
      </c>
      <c r="J44" s="18">
        <f t="shared" si="9"/>
        <v>98.699999999999989</v>
      </c>
      <c r="K44" s="17">
        <f t="shared" si="10"/>
        <v>3.4552980010733474E-2</v>
      </c>
      <c r="L44" s="11">
        <v>82.42</v>
      </c>
      <c r="M44" s="14">
        <v>103.523935584884</v>
      </c>
      <c r="N44" s="15">
        <f t="shared" si="11"/>
        <v>103.523935584884</v>
      </c>
      <c r="T44" s="5"/>
      <c r="U44" s="5"/>
      <c r="V44" s="6"/>
      <c r="W44" s="3"/>
    </row>
    <row r="45" spans="1:23">
      <c r="A45" s="2">
        <v>29495</v>
      </c>
      <c r="B45" s="16">
        <v>454.4</v>
      </c>
      <c r="C45" s="16">
        <v>662.6</v>
      </c>
      <c r="D45" s="16">
        <f t="shared" si="7"/>
        <v>208.20000000000005</v>
      </c>
      <c r="E45" s="12">
        <v>2985.5569999999998</v>
      </c>
      <c r="F45" s="13">
        <f t="shared" si="6"/>
        <v>6.9735731054540256E-2</v>
      </c>
      <c r="G45" s="16">
        <v>6.7</v>
      </c>
      <c r="H45" s="16">
        <v>92.17499999999994</v>
      </c>
      <c r="I45" s="17">
        <f t="shared" si="8"/>
        <v>3.0873635974794634E-2</v>
      </c>
      <c r="J45" s="18">
        <f t="shared" si="9"/>
        <v>116.02500000000011</v>
      </c>
      <c r="K45" s="17">
        <f t="shared" si="10"/>
        <v>3.8862095079745626E-2</v>
      </c>
      <c r="L45" s="11">
        <v>83.54</v>
      </c>
      <c r="M45" s="14">
        <v>105.71358317685301</v>
      </c>
      <c r="N45" s="15">
        <f t="shared" si="11"/>
        <v>105.71358317685301</v>
      </c>
      <c r="T45" s="5"/>
      <c r="U45" s="5"/>
      <c r="V45" s="6"/>
      <c r="W45" s="3"/>
    </row>
    <row r="46" spans="1:23">
      <c r="A46" s="2">
        <v>29587</v>
      </c>
      <c r="B46" s="16">
        <v>469.8</v>
      </c>
      <c r="C46" s="16">
        <v>684.6</v>
      </c>
      <c r="D46" s="16">
        <f t="shared" si="7"/>
        <v>214.8</v>
      </c>
      <c r="E46" s="12">
        <v>3124.2060000000001</v>
      </c>
      <c r="F46" s="13">
        <f t="shared" si="6"/>
        <v>6.8753468881373375E-2</v>
      </c>
      <c r="G46" s="16">
        <v>1.7</v>
      </c>
      <c r="H46" s="16">
        <v>92.599999999999937</v>
      </c>
      <c r="I46" s="17">
        <f t="shared" si="8"/>
        <v>2.9639530811988689E-2</v>
      </c>
      <c r="J46" s="18">
        <f t="shared" si="9"/>
        <v>122.20000000000007</v>
      </c>
      <c r="K46" s="17">
        <f t="shared" si="10"/>
        <v>3.9113938069384693E-2</v>
      </c>
      <c r="L46" s="11">
        <v>84.99666666666667</v>
      </c>
      <c r="M46" s="14">
        <v>109.17555153491</v>
      </c>
      <c r="N46" s="15">
        <f t="shared" si="11"/>
        <v>109.17555153491</v>
      </c>
      <c r="T46" s="5"/>
      <c r="U46" s="5"/>
      <c r="V46" s="6"/>
      <c r="W46" s="3"/>
    </row>
    <row r="47" spans="1:23">
      <c r="A47" s="2">
        <v>29677</v>
      </c>
      <c r="B47" s="16">
        <v>481.8</v>
      </c>
      <c r="C47" s="16">
        <v>697.1</v>
      </c>
      <c r="D47" s="16">
        <f t="shared" si="7"/>
        <v>215.3</v>
      </c>
      <c r="E47" s="12">
        <v>3162.5320000000002</v>
      </c>
      <c r="F47" s="13">
        <f t="shared" si="6"/>
        <v>6.8078362527240838E-2</v>
      </c>
      <c r="G47" s="16">
        <v>0.2</v>
      </c>
      <c r="H47" s="16">
        <v>92.649999999999935</v>
      </c>
      <c r="I47" s="17">
        <f t="shared" si="8"/>
        <v>2.9296146252433156E-2</v>
      </c>
      <c r="J47" s="18">
        <f t="shared" si="9"/>
        <v>122.65000000000008</v>
      </c>
      <c r="K47" s="17">
        <f t="shared" si="10"/>
        <v>3.8782216274807678E-2</v>
      </c>
      <c r="L47" s="11">
        <v>89.133333333333326</v>
      </c>
      <c r="M47" s="14">
        <v>116.160263541047</v>
      </c>
      <c r="N47" s="15">
        <f t="shared" si="11"/>
        <v>116.160263541047</v>
      </c>
      <c r="T47" s="5"/>
      <c r="U47" s="5"/>
      <c r="V47" s="6"/>
      <c r="W47" s="3"/>
    </row>
    <row r="48" spans="1:23">
      <c r="A48" s="2">
        <v>29768</v>
      </c>
      <c r="B48" s="16">
        <v>482.6</v>
      </c>
      <c r="C48" s="16">
        <v>701.4</v>
      </c>
      <c r="D48" s="16">
        <f t="shared" si="7"/>
        <v>218.79999999999995</v>
      </c>
      <c r="E48" s="12">
        <v>3260.6089999999999</v>
      </c>
      <c r="F48" s="13">
        <f t="shared" si="6"/>
        <v>6.7104028725922041E-2</v>
      </c>
      <c r="G48" s="16">
        <v>7.1</v>
      </c>
      <c r="H48" s="16">
        <v>94.42499999999994</v>
      </c>
      <c r="I48" s="17">
        <f t="shared" si="8"/>
        <v>2.8959314042254051E-2</v>
      </c>
      <c r="J48" s="18">
        <f t="shared" si="9"/>
        <v>124.37500000000001</v>
      </c>
      <c r="K48" s="17">
        <f t="shared" si="10"/>
        <v>3.8144714683667993E-2</v>
      </c>
      <c r="L48" s="11">
        <v>93.853333333333339</v>
      </c>
      <c r="M48" s="14">
        <v>122.61978916411201</v>
      </c>
      <c r="N48" s="15">
        <f t="shared" si="11"/>
        <v>122.61978916411201</v>
      </c>
      <c r="T48" s="5"/>
      <c r="U48" s="5"/>
      <c r="V48" s="6"/>
      <c r="W48" s="3"/>
    </row>
    <row r="49" spans="1:25">
      <c r="A49" s="2">
        <v>29860</v>
      </c>
      <c r="B49" s="16">
        <v>496.3</v>
      </c>
      <c r="C49" s="16">
        <v>747.4</v>
      </c>
      <c r="D49" s="16">
        <f t="shared" si="7"/>
        <v>251.09999999999997</v>
      </c>
      <c r="E49" s="12">
        <v>3280.8180000000002</v>
      </c>
      <c r="F49" s="13">
        <f t="shared" si="6"/>
        <v>7.6535790769253265E-2</v>
      </c>
      <c r="G49" s="16">
        <v>4.5999999999999996</v>
      </c>
      <c r="H49" s="16">
        <v>95.574999999999946</v>
      </c>
      <c r="I49" s="17">
        <f t="shared" si="8"/>
        <v>2.9131454411674144E-2</v>
      </c>
      <c r="J49" s="18">
        <f t="shared" si="9"/>
        <v>155.52500000000003</v>
      </c>
      <c r="K49" s="17">
        <f t="shared" si="10"/>
        <v>4.7404336357579124E-2</v>
      </c>
      <c r="L49" s="11">
        <v>90.850000000000009</v>
      </c>
      <c r="M49" s="14">
        <v>118.814588198195</v>
      </c>
      <c r="N49" s="15">
        <f t="shared" si="11"/>
        <v>118.814588198195</v>
      </c>
      <c r="T49" s="5"/>
      <c r="U49" s="5"/>
      <c r="V49" s="6"/>
      <c r="W49" s="3"/>
    </row>
    <row r="50" spans="1:25">
      <c r="A50" s="2">
        <v>29952</v>
      </c>
      <c r="B50" s="16">
        <v>425.7</v>
      </c>
      <c r="C50" s="16">
        <v>579.29999999999995</v>
      </c>
      <c r="D50" s="16">
        <f t="shared" si="7"/>
        <v>153.59999999999997</v>
      </c>
      <c r="E50" s="12">
        <v>3274.3020000000001</v>
      </c>
      <c r="F50" s="13">
        <f t="shared" si="6"/>
        <v>4.6910761438621107E-2</v>
      </c>
      <c r="G50" s="16">
        <v>0.7</v>
      </c>
      <c r="H50" s="16">
        <v>95.749999999999943</v>
      </c>
      <c r="I50" s="17">
        <f t="shared" si="8"/>
        <v>2.9242873748359172E-2</v>
      </c>
      <c r="J50" s="18">
        <f t="shared" si="9"/>
        <v>57.850000000000023</v>
      </c>
      <c r="K50" s="17">
        <f t="shared" si="10"/>
        <v>1.7667887690261931E-2</v>
      </c>
      <c r="L50" s="11">
        <v>93.986666666666679</v>
      </c>
      <c r="M50" s="14">
        <v>123.38652523224</v>
      </c>
      <c r="N50" s="15">
        <f t="shared" si="11"/>
        <v>123.38652523224</v>
      </c>
      <c r="T50" s="5"/>
      <c r="U50" s="5"/>
      <c r="V50" s="6"/>
      <c r="W50" s="3"/>
      <c r="X50" s="7"/>
      <c r="Y50" s="8"/>
    </row>
    <row r="51" spans="1:25">
      <c r="A51" s="2">
        <v>30042</v>
      </c>
      <c r="B51" s="16">
        <v>419.1</v>
      </c>
      <c r="C51" s="16">
        <v>598.1</v>
      </c>
      <c r="D51" s="16">
        <f t="shared" si="7"/>
        <v>179</v>
      </c>
      <c r="E51" s="12">
        <v>3331.9720000000002</v>
      </c>
      <c r="F51" s="13">
        <f t="shared" si="6"/>
        <v>5.3721940040312458E-2</v>
      </c>
      <c r="G51" s="16">
        <v>17.399999999999999</v>
      </c>
      <c r="H51" s="16">
        <v>100.09999999999994</v>
      </c>
      <c r="I51" s="17">
        <f t="shared" si="8"/>
        <v>3.0042269262766895E-2</v>
      </c>
      <c r="J51" s="18">
        <f t="shared" si="9"/>
        <v>78.900000000000063</v>
      </c>
      <c r="K51" s="17">
        <f t="shared" si="10"/>
        <v>2.3679670777545566E-2</v>
      </c>
      <c r="L51" s="11">
        <v>97.776666666666657</v>
      </c>
      <c r="M51" s="14">
        <v>128.22347530624</v>
      </c>
      <c r="N51" s="15">
        <f t="shared" si="11"/>
        <v>128.22347530624</v>
      </c>
      <c r="T51" s="5"/>
      <c r="U51" s="5"/>
      <c r="V51" s="6"/>
      <c r="W51" s="3"/>
      <c r="X51" s="7"/>
      <c r="Y51" s="8"/>
    </row>
    <row r="52" spans="1:25">
      <c r="A52" s="2">
        <v>30133</v>
      </c>
      <c r="B52" s="16">
        <v>421.5</v>
      </c>
      <c r="C52" s="16">
        <v>602.1</v>
      </c>
      <c r="D52" s="16">
        <f t="shared" si="7"/>
        <v>180.60000000000002</v>
      </c>
      <c r="E52" s="12">
        <v>3366.3220000000001</v>
      </c>
      <c r="F52" s="13">
        <f t="shared" si="6"/>
        <v>5.3649056745017264E-2</v>
      </c>
      <c r="G52" s="16">
        <v>-14</v>
      </c>
      <c r="H52" s="16">
        <v>96.599999999999937</v>
      </c>
      <c r="I52" s="17">
        <f t="shared" si="8"/>
        <v>2.8696007096172003E-2</v>
      </c>
      <c r="J52" s="18">
        <f t="shared" si="9"/>
        <v>84.000000000000085</v>
      </c>
      <c r="K52" s="17">
        <f t="shared" si="10"/>
        <v>2.4953049648845264E-2</v>
      </c>
      <c r="L52" s="11">
        <v>102.80333333333333</v>
      </c>
      <c r="M52" s="14">
        <v>134.96237925488001</v>
      </c>
      <c r="N52" s="15">
        <f t="shared" si="11"/>
        <v>134.96237925488001</v>
      </c>
      <c r="T52" s="5"/>
      <c r="U52" s="5"/>
      <c r="V52" s="6"/>
      <c r="W52" s="3"/>
      <c r="X52" s="7"/>
      <c r="Y52" s="8"/>
    </row>
    <row r="53" spans="1:25">
      <c r="A53" s="2">
        <v>30225</v>
      </c>
      <c r="B53" s="16">
        <v>457.3</v>
      </c>
      <c r="C53" s="16">
        <v>639.4</v>
      </c>
      <c r="D53" s="16">
        <f t="shared" si="7"/>
        <v>182.09999999999997</v>
      </c>
      <c r="E53" s="12">
        <v>3402.5610000000001</v>
      </c>
      <c r="F53" s="13">
        <f t="shared" si="6"/>
        <v>5.3518511497663068E-2</v>
      </c>
      <c r="G53" s="16">
        <v>-17.3</v>
      </c>
      <c r="H53" s="16">
        <v>92.274999999999935</v>
      </c>
      <c r="I53" s="17">
        <f t="shared" si="8"/>
        <v>2.7119278684496744E-2</v>
      </c>
      <c r="J53" s="18">
        <f t="shared" si="9"/>
        <v>89.825000000000031</v>
      </c>
      <c r="K53" s="17">
        <f t="shared" si="10"/>
        <v>2.6399232813166328E-2</v>
      </c>
      <c r="L53" s="11">
        <v>102.98333333333333</v>
      </c>
      <c r="M53" s="14">
        <v>135.537770890416</v>
      </c>
      <c r="N53" s="15">
        <f t="shared" si="11"/>
        <v>135.537770890416</v>
      </c>
      <c r="T53" s="5"/>
      <c r="U53" s="5"/>
      <c r="V53" s="6"/>
      <c r="W53" s="3"/>
      <c r="X53" s="7"/>
      <c r="Y53" s="8"/>
    </row>
    <row r="54" spans="1:25">
      <c r="A54" s="2">
        <v>30317</v>
      </c>
      <c r="B54" s="16">
        <v>454.9</v>
      </c>
      <c r="C54" s="16">
        <v>652</v>
      </c>
      <c r="D54" s="16">
        <f t="shared" si="7"/>
        <v>197.10000000000002</v>
      </c>
      <c r="E54" s="12">
        <v>3473.413</v>
      </c>
      <c r="F54" s="13">
        <f t="shared" si="6"/>
        <v>5.6745339526281503E-2</v>
      </c>
      <c r="G54" s="16">
        <v>-7.9</v>
      </c>
      <c r="H54" s="16">
        <v>90.29999999999994</v>
      </c>
      <c r="I54" s="17">
        <f t="shared" si="8"/>
        <v>2.5997484318737777E-2</v>
      </c>
      <c r="J54" s="18">
        <f t="shared" si="9"/>
        <v>106.80000000000008</v>
      </c>
      <c r="K54" s="17">
        <f t="shared" si="10"/>
        <v>3.0747855207543726E-2</v>
      </c>
      <c r="L54" s="11">
        <v>102.23</v>
      </c>
      <c r="M54" s="14">
        <v>132.38698728351</v>
      </c>
      <c r="N54" s="15">
        <f t="shared" si="11"/>
        <v>132.38698728351</v>
      </c>
      <c r="T54" s="5"/>
      <c r="U54" s="5"/>
      <c r="V54" s="6"/>
      <c r="W54" s="3"/>
      <c r="X54" s="7"/>
      <c r="Y54" s="8"/>
    </row>
    <row r="55" spans="1:25">
      <c r="A55" s="2">
        <v>30407</v>
      </c>
      <c r="B55" s="16">
        <v>474.6</v>
      </c>
      <c r="C55" s="16">
        <v>664.2</v>
      </c>
      <c r="D55" s="16">
        <f t="shared" si="7"/>
        <v>189.60000000000002</v>
      </c>
      <c r="E55" s="12">
        <v>3578.848</v>
      </c>
      <c r="F55" s="13">
        <f t="shared" si="6"/>
        <v>5.2977941505199445E-2</v>
      </c>
      <c r="G55" s="16">
        <v>-27.6</v>
      </c>
      <c r="H55" s="16">
        <v>83.399999999999935</v>
      </c>
      <c r="I55" s="17">
        <f t="shared" si="8"/>
        <v>2.3303588193742772E-2</v>
      </c>
      <c r="J55" s="18">
        <f t="shared" si="9"/>
        <v>106.20000000000009</v>
      </c>
      <c r="K55" s="17">
        <f t="shared" si="10"/>
        <v>2.9674353311456673E-2</v>
      </c>
      <c r="L55" s="11">
        <v>102.73666666666666</v>
      </c>
      <c r="M55" s="14">
        <v>135.61632475809401</v>
      </c>
      <c r="N55" s="15">
        <f t="shared" si="11"/>
        <v>135.61632475809401</v>
      </c>
      <c r="T55" s="5"/>
      <c r="U55" s="5"/>
      <c r="V55" s="6"/>
      <c r="W55" s="3"/>
      <c r="X55" s="7"/>
      <c r="Y55" s="8"/>
    </row>
    <row r="56" spans="1:25">
      <c r="A56" s="2">
        <v>30498</v>
      </c>
      <c r="B56" s="16">
        <v>487.9</v>
      </c>
      <c r="C56" s="16">
        <v>685.4</v>
      </c>
      <c r="D56" s="16">
        <f t="shared" si="7"/>
        <v>197.5</v>
      </c>
      <c r="E56" s="12">
        <v>3689.1790000000001</v>
      </c>
      <c r="F56" s="13">
        <f t="shared" si="6"/>
        <v>5.3534946393221906E-2</v>
      </c>
      <c r="G56" s="16">
        <v>-47.9</v>
      </c>
      <c r="H56" s="16">
        <v>71.42499999999994</v>
      </c>
      <c r="I56" s="17">
        <f t="shared" si="8"/>
        <v>1.9360676182966437E-2</v>
      </c>
      <c r="J56" s="18">
        <f t="shared" si="9"/>
        <v>126.07500000000006</v>
      </c>
      <c r="K56" s="17">
        <f t="shared" si="10"/>
        <v>3.4174270210255465E-2</v>
      </c>
      <c r="L56" s="11">
        <v>104.72333333333331</v>
      </c>
      <c r="M56" s="14">
        <v>139.15641126902901</v>
      </c>
      <c r="N56" s="15">
        <f t="shared" si="11"/>
        <v>139.15641126902901</v>
      </c>
      <c r="T56" s="5"/>
      <c r="U56" s="5"/>
      <c r="V56" s="6"/>
      <c r="W56" s="3"/>
      <c r="X56" s="7"/>
      <c r="Y56" s="8"/>
    </row>
    <row r="57" spans="1:25">
      <c r="A57" s="2">
        <v>30590</v>
      </c>
      <c r="B57" s="16">
        <v>546.9</v>
      </c>
      <c r="C57" s="16">
        <v>791.9</v>
      </c>
      <c r="D57" s="16">
        <f t="shared" si="7"/>
        <v>245</v>
      </c>
      <c r="E57" s="12">
        <v>3794.7060000000001</v>
      </c>
      <c r="F57" s="13">
        <f t="shared" si="6"/>
        <v>6.4563631543524055E-2</v>
      </c>
      <c r="G57" s="16">
        <v>-56.8</v>
      </c>
      <c r="H57" s="16">
        <v>57.224999999999937</v>
      </c>
      <c r="I57" s="17">
        <f t="shared" si="8"/>
        <v>1.5080219653380245E-2</v>
      </c>
      <c r="J57" s="18">
        <f t="shared" si="9"/>
        <v>187.77500000000006</v>
      </c>
      <c r="K57" s="17">
        <f t="shared" si="10"/>
        <v>4.9483411890143811E-2</v>
      </c>
      <c r="L57" s="11">
        <v>103.90666666666668</v>
      </c>
      <c r="M57" s="14">
        <v>139.40882671073999</v>
      </c>
      <c r="N57" s="15">
        <f t="shared" si="11"/>
        <v>139.40882671073999</v>
      </c>
      <c r="T57" s="5"/>
      <c r="U57" s="5"/>
      <c r="V57" s="6"/>
      <c r="W57" s="3"/>
      <c r="X57" s="7"/>
      <c r="Y57" s="8"/>
    </row>
    <row r="58" spans="1:25">
      <c r="A58" s="2">
        <v>30682</v>
      </c>
      <c r="B58" s="16">
        <v>543.70000000000005</v>
      </c>
      <c r="C58" s="16">
        <v>817</v>
      </c>
      <c r="D58" s="16">
        <f t="shared" si="7"/>
        <v>273.29999999999995</v>
      </c>
      <c r="E58" s="12">
        <v>3908.0540000000001</v>
      </c>
      <c r="F58" s="13">
        <f t="shared" si="6"/>
        <v>6.9932503491507522E-2</v>
      </c>
      <c r="G58" s="16">
        <v>-78.5</v>
      </c>
      <c r="H58" s="16">
        <v>37.599999999999937</v>
      </c>
      <c r="I58" s="17">
        <f t="shared" si="8"/>
        <v>9.6211567189194262E-3</v>
      </c>
      <c r="J58" s="18">
        <f t="shared" si="9"/>
        <v>235.70000000000002</v>
      </c>
      <c r="K58" s="17">
        <f t="shared" si="10"/>
        <v>6.0311346772588099E-2</v>
      </c>
      <c r="L58" s="11">
        <v>103.97666666666667</v>
      </c>
      <c r="M58" s="14">
        <v>140.390579833267</v>
      </c>
      <c r="N58" s="15">
        <f t="shared" si="11"/>
        <v>140.390579833267</v>
      </c>
      <c r="T58" s="5"/>
      <c r="U58" s="5"/>
      <c r="V58" s="6"/>
      <c r="W58" s="3"/>
      <c r="X58" s="7"/>
      <c r="Y58" s="8"/>
    </row>
    <row r="59" spans="1:25">
      <c r="A59" s="2">
        <v>30773</v>
      </c>
      <c r="B59" s="16">
        <v>575.9</v>
      </c>
      <c r="C59" s="16">
        <v>836.6</v>
      </c>
      <c r="D59" s="16">
        <f t="shared" si="7"/>
        <v>260.70000000000005</v>
      </c>
      <c r="E59" s="12">
        <v>4009.6010000000001</v>
      </c>
      <c r="F59" s="13">
        <f t="shared" si="6"/>
        <v>6.5018938293361375E-2</v>
      </c>
      <c r="G59" s="16">
        <v>-87.9</v>
      </c>
      <c r="H59" s="16">
        <v>15.624999999999936</v>
      </c>
      <c r="I59" s="17">
        <f t="shared" si="8"/>
        <v>3.8968964742376951E-3</v>
      </c>
      <c r="J59" s="18">
        <f t="shared" si="9"/>
        <v>245.0750000000001</v>
      </c>
      <c r="K59" s="17">
        <f t="shared" si="10"/>
        <v>6.1122041819123674E-2</v>
      </c>
      <c r="L59" s="11">
        <v>104.55333333333333</v>
      </c>
      <c r="M59" s="14">
        <v>141.06534743933901</v>
      </c>
      <c r="N59" s="15">
        <f t="shared" si="11"/>
        <v>141.06534743933901</v>
      </c>
      <c r="T59" s="5"/>
      <c r="U59" s="5"/>
      <c r="V59" s="6"/>
      <c r="W59" s="3"/>
      <c r="X59" s="7"/>
      <c r="Y59" s="8"/>
    </row>
    <row r="60" spans="1:25">
      <c r="A60" s="2">
        <v>30864</v>
      </c>
      <c r="B60" s="16">
        <v>598</v>
      </c>
      <c r="C60" s="16">
        <v>834.2</v>
      </c>
      <c r="D60" s="16">
        <f t="shared" si="7"/>
        <v>236.20000000000005</v>
      </c>
      <c r="E60" s="12">
        <v>4084.25</v>
      </c>
      <c r="F60" s="13">
        <f t="shared" si="6"/>
        <v>5.7831915284323937E-2</v>
      </c>
      <c r="G60" s="16">
        <v>-90.4</v>
      </c>
      <c r="H60" s="16">
        <v>-6.9750000000000654</v>
      </c>
      <c r="I60" s="17">
        <f t="shared" si="8"/>
        <v>-1.7077798861480236E-3</v>
      </c>
      <c r="J60" s="18">
        <f t="shared" si="9"/>
        <v>243.17500000000013</v>
      </c>
      <c r="K60" s="17">
        <f t="shared" si="10"/>
        <v>5.9539695170471967E-2</v>
      </c>
      <c r="L60" s="11">
        <v>109.46333333333332</v>
      </c>
      <c r="M60" s="14">
        <v>147.770526887823</v>
      </c>
      <c r="N60" s="15">
        <f t="shared" si="11"/>
        <v>147.770526887823</v>
      </c>
      <c r="T60" s="5"/>
      <c r="U60" s="5"/>
      <c r="V60" s="6"/>
      <c r="W60" s="3"/>
      <c r="X60" s="7"/>
      <c r="Y60" s="8"/>
    </row>
    <row r="61" spans="1:25">
      <c r="A61" s="2">
        <v>30956</v>
      </c>
      <c r="B61" s="16">
        <v>628.20000000000005</v>
      </c>
      <c r="C61" s="16">
        <v>814.7</v>
      </c>
      <c r="D61" s="16">
        <f t="shared" si="7"/>
        <v>186.5</v>
      </c>
      <c r="E61" s="12">
        <v>4148.5510000000004</v>
      </c>
      <c r="F61" s="13">
        <f t="shared" si="6"/>
        <v>4.4955455531340942E-2</v>
      </c>
      <c r="G61" s="16">
        <v>-103.4</v>
      </c>
      <c r="H61" s="16">
        <v>-32.825000000000067</v>
      </c>
      <c r="I61" s="17">
        <f t="shared" si="8"/>
        <v>-7.9124012215349565E-3</v>
      </c>
      <c r="J61" s="18">
        <f t="shared" si="9"/>
        <v>219.32500000000007</v>
      </c>
      <c r="K61" s="17">
        <f t="shared" si="10"/>
        <v>5.2867856752875898E-2</v>
      </c>
      <c r="L61" s="11">
        <v>111.25333333333333</v>
      </c>
      <c r="M61" s="14">
        <v>151.02335796752601</v>
      </c>
      <c r="N61" s="15">
        <f t="shared" si="11"/>
        <v>151.02335796752601</v>
      </c>
      <c r="T61" s="5"/>
      <c r="U61" s="5"/>
      <c r="V61" s="6"/>
      <c r="W61" s="3"/>
      <c r="X61" s="7"/>
      <c r="Y61" s="8"/>
    </row>
    <row r="62" spans="1:25">
      <c r="A62" s="2">
        <v>31048</v>
      </c>
      <c r="B62" s="16">
        <v>648.9</v>
      </c>
      <c r="C62" s="16">
        <v>823.7</v>
      </c>
      <c r="D62" s="16">
        <f t="shared" si="7"/>
        <v>174.80000000000007</v>
      </c>
      <c r="E62" s="12">
        <v>4230.1679999999997</v>
      </c>
      <c r="F62" s="13">
        <f t="shared" si="6"/>
        <v>4.1322235901741985E-2</v>
      </c>
      <c r="G62" s="16">
        <v>-89.4</v>
      </c>
      <c r="H62" s="16">
        <v>-55.175000000000068</v>
      </c>
      <c r="I62" s="17">
        <f t="shared" si="8"/>
        <v>-1.3043217196101922E-2</v>
      </c>
      <c r="J62" s="18">
        <f t="shared" si="9"/>
        <v>229.97500000000014</v>
      </c>
      <c r="K62" s="17">
        <f t="shared" si="10"/>
        <v>5.4365453097843908E-2</v>
      </c>
      <c r="L62" s="11">
        <v>115.14333333333333</v>
      </c>
      <c r="M62" s="14">
        <v>157.78864527286299</v>
      </c>
      <c r="N62" s="15">
        <f t="shared" si="11"/>
        <v>157.78864527286299</v>
      </c>
      <c r="T62" s="5"/>
      <c r="U62" s="5"/>
      <c r="V62" s="6"/>
      <c r="W62" s="3"/>
      <c r="X62" s="7"/>
      <c r="Y62" s="8"/>
    </row>
    <row r="63" spans="1:25">
      <c r="A63" s="2">
        <v>31138</v>
      </c>
      <c r="B63" s="16">
        <v>685.7</v>
      </c>
      <c r="C63" s="16">
        <v>826.5</v>
      </c>
      <c r="D63" s="16">
        <f t="shared" si="7"/>
        <v>140.79999999999995</v>
      </c>
      <c r="E63" s="12">
        <v>4294.8869999999997</v>
      </c>
      <c r="F63" s="13">
        <f t="shared" si="6"/>
        <v>3.2783167519890501E-2</v>
      </c>
      <c r="G63" s="16">
        <v>-111.4</v>
      </c>
      <c r="H63" s="16">
        <v>-83.025000000000063</v>
      </c>
      <c r="I63" s="17">
        <f t="shared" si="8"/>
        <v>-1.9331125591895683E-2</v>
      </c>
      <c r="J63" s="18">
        <f t="shared" si="9"/>
        <v>223.82500000000002</v>
      </c>
      <c r="K63" s="17">
        <f t="shared" si="10"/>
        <v>5.2114293111786184E-2</v>
      </c>
      <c r="L63" s="11">
        <v>112.57333333333332</v>
      </c>
      <c r="M63" s="14">
        <v>154.448422522031</v>
      </c>
      <c r="N63" s="15">
        <f t="shared" si="11"/>
        <v>154.448422522031</v>
      </c>
      <c r="T63" s="5"/>
      <c r="U63" s="5"/>
      <c r="V63" s="6"/>
      <c r="W63" s="3"/>
      <c r="X63" s="7"/>
      <c r="Y63" s="8"/>
    </row>
    <row r="64" spans="1:25">
      <c r="A64" s="2">
        <v>31229</v>
      </c>
      <c r="B64" s="16">
        <v>709.1</v>
      </c>
      <c r="C64" s="16">
        <v>841.2</v>
      </c>
      <c r="D64" s="16">
        <f t="shared" si="7"/>
        <v>132.10000000000002</v>
      </c>
      <c r="E64" s="12">
        <v>4386.7730000000001</v>
      </c>
      <c r="F64" s="13">
        <f t="shared" si="6"/>
        <v>3.0113251814032779E-2</v>
      </c>
      <c r="G64" s="16">
        <v>-121.3</v>
      </c>
      <c r="H64" s="16">
        <v>-113.35000000000007</v>
      </c>
      <c r="I64" s="17">
        <f t="shared" si="8"/>
        <v>-2.5839039312041005E-2</v>
      </c>
      <c r="J64" s="18">
        <f t="shared" si="9"/>
        <v>245.4500000000001</v>
      </c>
      <c r="K64" s="17">
        <f t="shared" si="10"/>
        <v>5.5952291126073792E-2</v>
      </c>
      <c r="L64" s="11">
        <v>110.55333333333333</v>
      </c>
      <c r="M64" s="14">
        <v>148.55103794023</v>
      </c>
      <c r="N64" s="15">
        <f t="shared" si="11"/>
        <v>148.55103794023</v>
      </c>
      <c r="T64" s="5"/>
      <c r="U64" s="5"/>
      <c r="V64" s="6"/>
      <c r="W64" s="3"/>
      <c r="X64" s="7"/>
      <c r="Y64" s="8"/>
    </row>
    <row r="65" spans="1:25">
      <c r="A65" s="2">
        <v>31321</v>
      </c>
      <c r="B65" s="16">
        <v>831.3</v>
      </c>
      <c r="C65" s="16">
        <v>964.5</v>
      </c>
      <c r="D65" s="16">
        <f t="shared" si="7"/>
        <v>133.20000000000005</v>
      </c>
      <c r="E65" s="12">
        <v>4444.0940000000001</v>
      </c>
      <c r="F65" s="13">
        <f t="shared" si="6"/>
        <v>2.9972363320847857E-2</v>
      </c>
      <c r="G65" s="16">
        <v>-135.19999999999999</v>
      </c>
      <c r="H65" s="16">
        <v>-147.15000000000006</v>
      </c>
      <c r="I65" s="17">
        <f t="shared" si="8"/>
        <v>-3.3111360830801524E-2</v>
      </c>
      <c r="J65" s="18">
        <f t="shared" si="9"/>
        <v>280.35000000000014</v>
      </c>
      <c r="K65" s="17">
        <f t="shared" si="10"/>
        <v>6.3083724151649381E-2</v>
      </c>
      <c r="L65" s="11">
        <v>105.87</v>
      </c>
      <c r="M65" s="14">
        <v>139.98399816020199</v>
      </c>
      <c r="N65" s="15">
        <f t="shared" si="11"/>
        <v>139.98399816020199</v>
      </c>
      <c r="T65" s="5"/>
      <c r="U65" s="5"/>
      <c r="V65" s="6"/>
      <c r="W65" s="3"/>
      <c r="X65" s="7"/>
      <c r="Y65" s="8"/>
    </row>
    <row r="66" spans="1:25">
      <c r="A66" s="2">
        <v>31413</v>
      </c>
      <c r="B66" s="16">
        <v>889.4</v>
      </c>
      <c r="C66" s="16">
        <v>999.9</v>
      </c>
      <c r="D66" s="16">
        <f t="shared" si="7"/>
        <v>110.5</v>
      </c>
      <c r="E66" s="12">
        <v>4507.8940000000002</v>
      </c>
      <c r="F66" s="13">
        <f t="shared" si="6"/>
        <v>2.4512555086699021E-2</v>
      </c>
      <c r="G66" s="16">
        <v>-128.30000000000001</v>
      </c>
      <c r="H66" s="16">
        <v>-179.22500000000008</v>
      </c>
      <c r="I66" s="17">
        <f t="shared" ref="I66:I97" si="12">H66/E66</f>
        <v>-3.9758033352159584E-2</v>
      </c>
      <c r="J66" s="18">
        <f t="shared" ref="J66:J97" si="13">D66-H66</f>
        <v>289.72500000000008</v>
      </c>
      <c r="K66" s="17">
        <f t="shared" ref="K66:K97" si="14">J66/E66</f>
        <v>6.4270588438858606E-2</v>
      </c>
      <c r="L66" s="11">
        <v>99.973333333333315</v>
      </c>
      <c r="M66" s="14">
        <v>133.04055775467199</v>
      </c>
      <c r="N66" s="15">
        <f t="shared" si="11"/>
        <v>133.04055775467199</v>
      </c>
      <c r="T66" s="5"/>
      <c r="U66" s="5"/>
      <c r="V66" s="6"/>
      <c r="W66" s="3"/>
      <c r="X66" s="7"/>
      <c r="Y66" s="8"/>
    </row>
    <row r="67" spans="1:25">
      <c r="A67" s="2">
        <v>31503</v>
      </c>
      <c r="B67" s="16">
        <v>950.7</v>
      </c>
      <c r="C67" s="16">
        <v>1020</v>
      </c>
      <c r="D67" s="16">
        <f t="shared" si="7"/>
        <v>69.299999999999955</v>
      </c>
      <c r="E67" s="12">
        <v>4545.34</v>
      </c>
      <c r="F67" s="13">
        <f t="shared" si="6"/>
        <v>1.5246384208882054E-2</v>
      </c>
      <c r="G67" s="16">
        <v>-141.9</v>
      </c>
      <c r="H67" s="16">
        <v>-214.70000000000007</v>
      </c>
      <c r="I67" s="17">
        <f t="shared" si="12"/>
        <v>-4.7235190326796253E-2</v>
      </c>
      <c r="J67" s="18">
        <f t="shared" si="13"/>
        <v>284</v>
      </c>
      <c r="K67" s="17">
        <f t="shared" si="14"/>
        <v>6.2481574535678298E-2</v>
      </c>
      <c r="L67" s="11">
        <v>95.546666666666667</v>
      </c>
      <c r="M67" s="14">
        <v>127.102754601371</v>
      </c>
      <c r="N67" s="15">
        <f t="shared" si="11"/>
        <v>127.102754601371</v>
      </c>
      <c r="T67" s="5"/>
      <c r="U67" s="5"/>
      <c r="V67" s="6"/>
      <c r="W67" s="3"/>
      <c r="X67" s="7"/>
      <c r="Y67" s="8"/>
    </row>
    <row r="68" spans="1:25">
      <c r="A68" s="2">
        <v>31594</v>
      </c>
      <c r="B68" s="16">
        <v>982.2</v>
      </c>
      <c r="C68" s="16">
        <v>1049.5999999999999</v>
      </c>
      <c r="D68" s="16">
        <f t="shared" si="7"/>
        <v>67.399999999999864</v>
      </c>
      <c r="E68" s="12">
        <v>4607.6689999999999</v>
      </c>
      <c r="F68" s="13">
        <f t="shared" si="6"/>
        <v>1.4627786848404229E-2</v>
      </c>
      <c r="G68" s="16">
        <v>-150.19999999999999</v>
      </c>
      <c r="H68" s="16">
        <v>-252.25000000000006</v>
      </c>
      <c r="I68" s="17">
        <f t="shared" si="12"/>
        <v>-5.4745685942284496E-2</v>
      </c>
      <c r="J68" s="18">
        <f t="shared" si="13"/>
        <v>319.64999999999992</v>
      </c>
      <c r="K68" s="17">
        <f t="shared" si="14"/>
        <v>6.9373472790688728E-2</v>
      </c>
      <c r="L68" s="11">
        <v>92.923333333333332</v>
      </c>
      <c r="M68" s="14">
        <v>122.45499605349001</v>
      </c>
      <c r="N68" s="15">
        <f t="shared" si="11"/>
        <v>122.45499605349001</v>
      </c>
      <c r="T68" s="5"/>
      <c r="U68" s="5"/>
      <c r="V68" s="6"/>
      <c r="W68" s="3"/>
      <c r="X68" s="7"/>
      <c r="Y68" s="8"/>
    </row>
    <row r="69" spans="1:25">
      <c r="A69" s="2">
        <v>31686</v>
      </c>
      <c r="B69" s="16">
        <v>1055.5</v>
      </c>
      <c r="C69" s="16">
        <v>1179.5</v>
      </c>
      <c r="D69" s="16">
        <f t="shared" si="7"/>
        <v>124</v>
      </c>
      <c r="E69" s="12">
        <v>4657.6270000000004</v>
      </c>
      <c r="F69" s="13">
        <f t="shared" si="6"/>
        <v>2.6622999222565481E-2</v>
      </c>
      <c r="G69" s="16">
        <v>-150.30000000000001</v>
      </c>
      <c r="H69" s="16">
        <v>-289.82500000000005</v>
      </c>
      <c r="I69" s="17">
        <f t="shared" si="12"/>
        <v>-6.2225893142580979E-2</v>
      </c>
      <c r="J69" s="18">
        <f t="shared" si="13"/>
        <v>413.82500000000005</v>
      </c>
      <c r="K69" s="17">
        <f t="shared" si="14"/>
        <v>8.8848892365146453E-2</v>
      </c>
      <c r="L69" s="11">
        <v>93.160000000000011</v>
      </c>
      <c r="M69" s="14">
        <v>121.856222471659</v>
      </c>
      <c r="N69" s="15">
        <f t="shared" si="11"/>
        <v>121.856222471659</v>
      </c>
      <c r="T69" s="5"/>
      <c r="U69" s="5"/>
      <c r="V69" s="6"/>
      <c r="W69" s="3"/>
      <c r="X69" s="7"/>
      <c r="Y69" s="8"/>
    </row>
    <row r="70" spans="1:25">
      <c r="A70" s="2">
        <v>31778</v>
      </c>
      <c r="B70" s="16">
        <v>1141.4000000000001</v>
      </c>
      <c r="C70" s="16">
        <v>1211.9000000000001</v>
      </c>
      <c r="D70" s="16">
        <f t="shared" si="7"/>
        <v>70.5</v>
      </c>
      <c r="E70" s="12">
        <v>4722.1559999999999</v>
      </c>
      <c r="F70" s="13">
        <f t="shared" si="6"/>
        <v>1.4929621130686915E-2</v>
      </c>
      <c r="G70" s="16">
        <v>-150.9</v>
      </c>
      <c r="H70" s="16">
        <v>-327.55000000000007</v>
      </c>
      <c r="I70" s="17">
        <f t="shared" si="12"/>
        <v>-6.9364502146900708E-2</v>
      </c>
      <c r="J70" s="18">
        <f t="shared" si="13"/>
        <v>398.05000000000007</v>
      </c>
      <c r="K70" s="17">
        <f t="shared" si="14"/>
        <v>8.4294123277587632E-2</v>
      </c>
      <c r="L70" s="11">
        <v>89.280000000000015</v>
      </c>
      <c r="M70" s="14">
        <v>116.64866963388501</v>
      </c>
      <c r="N70" s="15">
        <f t="shared" si="11"/>
        <v>116.64866963388501</v>
      </c>
      <c r="T70" s="5"/>
      <c r="U70" s="5"/>
      <c r="V70" s="6"/>
      <c r="W70" s="3"/>
      <c r="X70" s="7"/>
      <c r="Y70" s="8"/>
    </row>
    <row r="71" spans="1:25">
      <c r="A71" s="2">
        <v>31868</v>
      </c>
      <c r="B71" s="16">
        <v>1175.5</v>
      </c>
      <c r="C71" s="16">
        <v>1220.5999999999999</v>
      </c>
      <c r="D71" s="16">
        <f t="shared" si="7"/>
        <v>45.099999999999909</v>
      </c>
      <c r="E71" s="12">
        <v>4806.16</v>
      </c>
      <c r="F71" s="13">
        <f t="shared" si="6"/>
        <v>9.3837908018043325E-3</v>
      </c>
      <c r="G71" s="16">
        <v>-154.4</v>
      </c>
      <c r="H71" s="16">
        <v>-366.15000000000009</v>
      </c>
      <c r="I71" s="17">
        <f t="shared" si="12"/>
        <v>-7.6183481199127809E-2</v>
      </c>
      <c r="J71" s="18">
        <f t="shared" si="13"/>
        <v>411.25</v>
      </c>
      <c r="K71" s="17">
        <f t="shared" si="14"/>
        <v>8.5567272000932143E-2</v>
      </c>
      <c r="L71" s="11">
        <v>86.29</v>
      </c>
      <c r="M71" s="14">
        <v>113.415854138634</v>
      </c>
      <c r="N71" s="15">
        <f t="shared" si="11"/>
        <v>113.415854138634</v>
      </c>
      <c r="T71" s="5"/>
      <c r="U71" s="5"/>
      <c r="V71" s="6"/>
      <c r="W71" s="3"/>
      <c r="X71" s="7"/>
      <c r="Y71" s="8"/>
    </row>
    <row r="72" spans="1:25">
      <c r="A72" s="2">
        <v>31959</v>
      </c>
      <c r="B72" s="16">
        <v>1243.8</v>
      </c>
      <c r="C72" s="16">
        <v>1239.5</v>
      </c>
      <c r="D72" s="16">
        <f t="shared" si="7"/>
        <v>-4.2999999999999545</v>
      </c>
      <c r="E72" s="12">
        <v>4884.5550000000003</v>
      </c>
      <c r="F72" s="13">
        <f t="shared" si="6"/>
        <v>-8.8032584339821222E-4</v>
      </c>
      <c r="G72" s="16">
        <v>-154.1</v>
      </c>
      <c r="H72" s="16">
        <v>-404.67500000000007</v>
      </c>
      <c r="I72" s="17">
        <f t="shared" si="12"/>
        <v>-8.2847874576087291E-2</v>
      </c>
      <c r="J72" s="18">
        <f t="shared" si="13"/>
        <v>400.37500000000011</v>
      </c>
      <c r="K72" s="17">
        <f t="shared" si="14"/>
        <v>8.1967548732689077E-2</v>
      </c>
      <c r="L72" s="11">
        <v>87.066666666666663</v>
      </c>
      <c r="M72" s="14">
        <v>114.889927437387</v>
      </c>
      <c r="N72" s="15">
        <f t="shared" si="11"/>
        <v>114.889927437387</v>
      </c>
      <c r="T72" s="5"/>
      <c r="U72" s="5"/>
      <c r="V72" s="6"/>
      <c r="W72" s="3"/>
      <c r="X72" s="7"/>
      <c r="Y72" s="8"/>
    </row>
    <row r="73" spans="1:25">
      <c r="A73" s="2">
        <v>32051</v>
      </c>
      <c r="B73" s="16">
        <v>1194.0999999999999</v>
      </c>
      <c r="C73" s="16">
        <v>1300.5</v>
      </c>
      <c r="D73" s="16">
        <f t="shared" si="7"/>
        <v>106.40000000000009</v>
      </c>
      <c r="E73" s="12">
        <v>5007.9939999999997</v>
      </c>
      <c r="F73" s="13">
        <f t="shared" si="6"/>
        <v>2.1246031844287371E-2</v>
      </c>
      <c r="G73" s="16">
        <v>-157</v>
      </c>
      <c r="H73" s="16">
        <v>-443.92500000000007</v>
      </c>
      <c r="I73" s="17">
        <f t="shared" si="12"/>
        <v>-8.8643277128526932E-2</v>
      </c>
      <c r="J73" s="18">
        <f t="shared" si="13"/>
        <v>550.32500000000016</v>
      </c>
      <c r="K73" s="17">
        <f t="shared" si="14"/>
        <v>0.10988930897281431</v>
      </c>
      <c r="L73" s="11">
        <v>83.346666666666664</v>
      </c>
      <c r="M73" s="14">
        <v>109.150910850082</v>
      </c>
      <c r="N73" s="15">
        <f t="shared" si="11"/>
        <v>109.150910850082</v>
      </c>
      <c r="T73" s="5"/>
      <c r="U73" s="5"/>
      <c r="V73" s="6"/>
      <c r="W73" s="3"/>
      <c r="X73" s="7"/>
      <c r="Y73" s="8"/>
    </row>
    <row r="74" spans="1:25">
      <c r="A74" s="2">
        <v>32143</v>
      </c>
      <c r="B74" s="16">
        <v>1252.8</v>
      </c>
      <c r="C74" s="16">
        <v>1318.6</v>
      </c>
      <c r="D74" s="16">
        <f t="shared" si="7"/>
        <v>65.799999999999955</v>
      </c>
      <c r="E74" s="12">
        <v>5073.3720000000003</v>
      </c>
      <c r="F74" s="13">
        <f t="shared" si="6"/>
        <v>1.2969677760668831E-2</v>
      </c>
      <c r="G74" s="16">
        <v>-126.9</v>
      </c>
      <c r="H74" s="16">
        <v>-475.65000000000009</v>
      </c>
      <c r="I74" s="17">
        <f t="shared" si="12"/>
        <v>-9.3754213174196577E-2</v>
      </c>
      <c r="J74" s="18">
        <f t="shared" si="13"/>
        <v>541.45000000000005</v>
      </c>
      <c r="K74" s="17">
        <f t="shared" si="14"/>
        <v>0.10672389093486541</v>
      </c>
      <c r="L74" s="11">
        <v>80.17</v>
      </c>
      <c r="M74" s="14">
        <v>106.499218701553</v>
      </c>
      <c r="N74" s="15">
        <f t="shared" si="11"/>
        <v>106.499218701553</v>
      </c>
      <c r="T74" s="5"/>
      <c r="U74" s="5"/>
      <c r="V74" s="6"/>
      <c r="W74" s="3"/>
      <c r="X74" s="7"/>
      <c r="Y74" s="8"/>
    </row>
    <row r="75" spans="1:25">
      <c r="A75" s="2">
        <v>32234</v>
      </c>
      <c r="B75" s="16">
        <v>1312.7</v>
      </c>
      <c r="C75" s="16">
        <v>1324.6</v>
      </c>
      <c r="D75" s="16">
        <f t="shared" si="7"/>
        <v>11.899999999999864</v>
      </c>
      <c r="E75" s="12">
        <v>5190.0360000000001</v>
      </c>
      <c r="F75" s="13">
        <f t="shared" si="6"/>
        <v>2.2928550013911007E-3</v>
      </c>
      <c r="G75" s="16">
        <v>-110</v>
      </c>
      <c r="H75" s="16">
        <v>-503.15000000000009</v>
      </c>
      <c r="I75" s="17">
        <f t="shared" si="12"/>
        <v>-9.694537764285259E-2</v>
      </c>
      <c r="J75" s="18">
        <f t="shared" si="13"/>
        <v>515.04999999999995</v>
      </c>
      <c r="K75" s="17">
        <f t="shared" si="14"/>
        <v>9.9238232644243696E-2</v>
      </c>
      <c r="L75" s="11">
        <v>78.946666666666673</v>
      </c>
      <c r="M75" s="14">
        <v>105.734424115783</v>
      </c>
      <c r="N75" s="15">
        <f t="shared" si="11"/>
        <v>105.734424115783</v>
      </c>
      <c r="T75" s="5"/>
      <c r="U75" s="5"/>
      <c r="V75" s="6"/>
      <c r="W75" s="3"/>
      <c r="X75" s="7"/>
      <c r="Y75" s="8"/>
    </row>
    <row r="76" spans="1:25">
      <c r="A76" s="2">
        <v>32325</v>
      </c>
      <c r="B76" s="16">
        <v>1337.1</v>
      </c>
      <c r="C76" s="16">
        <v>1346.9</v>
      </c>
      <c r="D76" s="16">
        <f t="shared" si="7"/>
        <v>9.8000000000001819</v>
      </c>
      <c r="E76" s="12">
        <v>5282.835</v>
      </c>
      <c r="F76" s="13">
        <f t="shared" si="6"/>
        <v>1.855064562872053E-3</v>
      </c>
      <c r="G76" s="16">
        <v>-106.5</v>
      </c>
      <c r="H76" s="16">
        <v>-529.77500000000009</v>
      </c>
      <c r="I76" s="17">
        <f t="shared" si="12"/>
        <v>-0.10028232946893099</v>
      </c>
      <c r="J76" s="18">
        <f t="shared" si="13"/>
        <v>539.57500000000027</v>
      </c>
      <c r="K76" s="17">
        <f t="shared" si="14"/>
        <v>0.10213739403180305</v>
      </c>
      <c r="L76" s="11">
        <v>82.446666666666673</v>
      </c>
      <c r="M76" s="14">
        <v>110.94646571998901</v>
      </c>
      <c r="N76" s="15">
        <f t="shared" si="11"/>
        <v>110.94646571998901</v>
      </c>
      <c r="T76" s="5"/>
      <c r="U76" s="5"/>
      <c r="V76" s="6"/>
      <c r="W76" s="3"/>
      <c r="X76" s="7"/>
      <c r="Y76" s="8"/>
    </row>
    <row r="77" spans="1:25">
      <c r="A77" s="2">
        <v>32417</v>
      </c>
      <c r="B77" s="16">
        <v>1405.6</v>
      </c>
      <c r="C77" s="16">
        <v>1492</v>
      </c>
      <c r="D77" s="16">
        <f t="shared" si="7"/>
        <v>86.400000000000091</v>
      </c>
      <c r="E77" s="12">
        <v>5399.509</v>
      </c>
      <c r="F77" s="13">
        <f t="shared" si="6"/>
        <v>1.6001454947107245E-2</v>
      </c>
      <c r="G77" s="16">
        <v>-119.6</v>
      </c>
      <c r="H77" s="16">
        <v>-559.67500000000007</v>
      </c>
      <c r="I77" s="17">
        <f t="shared" si="12"/>
        <v>-0.10365294325835925</v>
      </c>
      <c r="J77" s="18">
        <f t="shared" si="13"/>
        <v>646.07500000000016</v>
      </c>
      <c r="K77" s="17">
        <f t="shared" si="14"/>
        <v>0.11965439820546649</v>
      </c>
      <c r="L77" s="11">
        <v>79.413333333333341</v>
      </c>
      <c r="M77" s="14">
        <v>106.171150841022</v>
      </c>
      <c r="N77" s="15">
        <f t="shared" si="11"/>
        <v>106.171150841022</v>
      </c>
      <c r="T77" s="5"/>
      <c r="U77" s="5"/>
      <c r="V77" s="6"/>
      <c r="W77" s="3"/>
      <c r="X77" s="7"/>
      <c r="Y77" s="8"/>
    </row>
    <row r="78" spans="1:25">
      <c r="A78" s="2">
        <v>32509</v>
      </c>
      <c r="B78" s="16">
        <v>1460.7</v>
      </c>
      <c r="C78" s="16">
        <v>1531</v>
      </c>
      <c r="D78" s="16">
        <f t="shared" si="7"/>
        <v>70.299999999999955</v>
      </c>
      <c r="E78" s="12">
        <v>5511.2529999999997</v>
      </c>
      <c r="F78" s="13">
        <f t="shared" si="6"/>
        <v>1.2755719978741668E-2</v>
      </c>
      <c r="G78" s="16">
        <v>-106.7</v>
      </c>
      <c r="H78" s="16">
        <v>-586.35</v>
      </c>
      <c r="I78" s="17">
        <f t="shared" si="12"/>
        <v>-0.10639141407589164</v>
      </c>
      <c r="J78" s="18">
        <f t="shared" si="13"/>
        <v>656.65</v>
      </c>
      <c r="K78" s="17">
        <f t="shared" si="14"/>
        <v>0.11914713405463331</v>
      </c>
      <c r="L78" s="11">
        <v>80.476666666666674</v>
      </c>
      <c r="M78" s="14">
        <v>108.200224894429</v>
      </c>
      <c r="N78" s="15">
        <f t="shared" si="11"/>
        <v>108.200224894429</v>
      </c>
      <c r="T78" s="5"/>
      <c r="U78" s="5"/>
      <c r="V78" s="6"/>
      <c r="W78" s="3"/>
      <c r="X78" s="7"/>
      <c r="Y78" s="8"/>
    </row>
    <row r="79" spans="1:25">
      <c r="A79" s="2">
        <v>32599</v>
      </c>
      <c r="B79" s="16">
        <v>1511.9</v>
      </c>
      <c r="C79" s="16">
        <v>1551.4</v>
      </c>
      <c r="D79" s="16">
        <f t="shared" si="7"/>
        <v>39.5</v>
      </c>
      <c r="E79" s="12">
        <v>5612.4629999999997</v>
      </c>
      <c r="F79" s="13">
        <f t="shared" si="6"/>
        <v>7.0379083122686066E-3</v>
      </c>
      <c r="G79" s="16">
        <v>-93.6</v>
      </c>
      <c r="H79" s="16">
        <v>-609.75</v>
      </c>
      <c r="I79" s="17">
        <f t="shared" si="12"/>
        <v>-0.1086421416052097</v>
      </c>
      <c r="J79" s="18">
        <f t="shared" si="13"/>
        <v>649.25</v>
      </c>
      <c r="K79" s="17">
        <f t="shared" si="14"/>
        <v>0.11568004991747831</v>
      </c>
      <c r="L79" s="11">
        <v>83.070000000000007</v>
      </c>
      <c r="M79" s="14">
        <v>113.2924328838</v>
      </c>
      <c r="N79" s="15">
        <f t="shared" si="11"/>
        <v>113.2924328838</v>
      </c>
      <c r="T79" s="5"/>
      <c r="U79" s="5"/>
      <c r="V79" s="6"/>
      <c r="W79" s="3"/>
      <c r="X79" s="7"/>
      <c r="Y79" s="8"/>
    </row>
    <row r="80" spans="1:25">
      <c r="A80" s="2">
        <v>32690</v>
      </c>
      <c r="B80" s="16">
        <v>1574.2</v>
      </c>
      <c r="C80" s="16">
        <v>1612.5</v>
      </c>
      <c r="D80" s="16">
        <f t="shared" si="7"/>
        <v>38.299999999999955</v>
      </c>
      <c r="E80" s="12">
        <v>5695.3649999999998</v>
      </c>
      <c r="F80" s="13">
        <f t="shared" si="6"/>
        <v>6.7247665426184199E-3</v>
      </c>
      <c r="G80" s="16">
        <v>-81.7</v>
      </c>
      <c r="H80" s="16">
        <v>-630.17499999999995</v>
      </c>
      <c r="I80" s="17">
        <f t="shared" si="12"/>
        <v>-0.11064699101813492</v>
      </c>
      <c r="J80" s="18">
        <f t="shared" si="13"/>
        <v>668.47499999999991</v>
      </c>
      <c r="K80" s="17">
        <f t="shared" si="14"/>
        <v>0.11737175756075334</v>
      </c>
      <c r="L80" s="11">
        <v>83.476666666666674</v>
      </c>
      <c r="M80" s="14">
        <v>112.63645600648201</v>
      </c>
      <c r="N80" s="15">
        <f t="shared" si="11"/>
        <v>112.63645600648201</v>
      </c>
      <c r="T80" s="5"/>
      <c r="U80" s="5"/>
      <c r="V80" s="6"/>
      <c r="W80" s="3"/>
      <c r="X80" s="7"/>
      <c r="Y80" s="8"/>
    </row>
    <row r="81" spans="1:25">
      <c r="A81" s="2">
        <v>32782</v>
      </c>
      <c r="B81" s="10">
        <v>1729.6</v>
      </c>
      <c r="C81" s="10">
        <v>1766.6</v>
      </c>
      <c r="D81" s="16">
        <f t="shared" si="7"/>
        <v>37</v>
      </c>
      <c r="E81" s="12">
        <v>5747.2370000000001</v>
      </c>
      <c r="F81" s="13">
        <f t="shared" si="6"/>
        <v>6.4378761481386623E-3</v>
      </c>
      <c r="G81" s="16">
        <v>-87.5</v>
      </c>
      <c r="H81" s="16">
        <v>-652.04999999999995</v>
      </c>
      <c r="I81" s="17">
        <f t="shared" si="12"/>
        <v>-0.11345451736199498</v>
      </c>
      <c r="J81" s="18">
        <f t="shared" si="13"/>
        <v>689.05</v>
      </c>
      <c r="K81" s="17">
        <f t="shared" si="14"/>
        <v>0.11989239351013364</v>
      </c>
      <c r="L81" s="11">
        <v>82.493333333333325</v>
      </c>
      <c r="M81" s="14">
        <v>109.856797552967</v>
      </c>
      <c r="N81" s="15">
        <f t="shared" si="11"/>
        <v>109.856797552967</v>
      </c>
      <c r="T81" s="5"/>
      <c r="U81" s="5"/>
      <c r="V81" s="6"/>
      <c r="W81" s="3"/>
      <c r="X81" s="7"/>
      <c r="Y81" s="8"/>
    </row>
    <row r="82" spans="1:25">
      <c r="A82" s="2">
        <v>32874</v>
      </c>
      <c r="B82" s="10">
        <v>1756.5</v>
      </c>
      <c r="C82" s="10">
        <v>1733.9</v>
      </c>
      <c r="D82" s="16">
        <f t="shared" si="7"/>
        <v>-22.599999999999909</v>
      </c>
      <c r="E82" s="12">
        <v>5872.701</v>
      </c>
      <c r="F82" s="13">
        <f t="shared" si="6"/>
        <v>-3.848314429765777E-3</v>
      </c>
      <c r="G82" s="16">
        <v>-90</v>
      </c>
      <c r="H82" s="16">
        <v>-674.55</v>
      </c>
      <c r="I82" s="17">
        <f t="shared" si="12"/>
        <v>-0.11486196896453607</v>
      </c>
      <c r="J82" s="18">
        <f t="shared" si="13"/>
        <v>651.95000000000005</v>
      </c>
      <c r="K82" s="17">
        <f t="shared" si="14"/>
        <v>0.1110136545347703</v>
      </c>
      <c r="L82" s="11">
        <v>81.983333333333334</v>
      </c>
      <c r="M82" s="14">
        <v>108.755719828267</v>
      </c>
      <c r="N82" s="15">
        <f t="shared" si="11"/>
        <v>108.755719828267</v>
      </c>
      <c r="T82" s="5"/>
      <c r="U82" s="5"/>
      <c r="V82" s="6"/>
      <c r="W82" s="3"/>
      <c r="X82" s="7"/>
      <c r="Y82" s="8"/>
    </row>
    <row r="83" spans="1:25">
      <c r="A83" s="2">
        <v>32964</v>
      </c>
      <c r="B83" s="10">
        <v>1801.9</v>
      </c>
      <c r="C83" s="10">
        <v>1791.3</v>
      </c>
      <c r="D83" s="16">
        <f t="shared" si="7"/>
        <v>-10.600000000000136</v>
      </c>
      <c r="E83" s="12">
        <v>5960.0280000000002</v>
      </c>
      <c r="F83" s="13">
        <f t="shared" si="6"/>
        <v>-1.7785151344926796E-3</v>
      </c>
      <c r="G83" s="16">
        <v>-72.900000000000006</v>
      </c>
      <c r="H83" s="16">
        <v>-692.77499999999998</v>
      </c>
      <c r="I83" s="17">
        <f t="shared" si="12"/>
        <v>-0.11623687002812738</v>
      </c>
      <c r="J83" s="18">
        <f t="shared" si="13"/>
        <v>682.17499999999984</v>
      </c>
      <c r="K83" s="17">
        <f t="shared" si="14"/>
        <v>0.11445835489363469</v>
      </c>
      <c r="L83" s="11">
        <v>82.216666666666669</v>
      </c>
      <c r="M83" s="14">
        <v>108.884347271393</v>
      </c>
      <c r="N83" s="15">
        <f t="shared" si="11"/>
        <v>108.884347271393</v>
      </c>
      <c r="T83" s="5"/>
      <c r="U83" s="5"/>
      <c r="V83" s="6"/>
      <c r="W83" s="3"/>
      <c r="X83" s="7"/>
      <c r="Y83" s="8"/>
    </row>
    <row r="84" spans="1:25">
      <c r="A84" s="2">
        <v>33055</v>
      </c>
      <c r="B84" s="10">
        <v>1827</v>
      </c>
      <c r="C84" s="10">
        <v>1808.1</v>
      </c>
      <c r="D84" s="16">
        <f t="shared" si="7"/>
        <v>-18.900000000000091</v>
      </c>
      <c r="E84" s="12">
        <v>6015.116</v>
      </c>
      <c r="F84" s="13">
        <f t="shared" si="6"/>
        <v>-3.1420840429345156E-3</v>
      </c>
      <c r="G84" s="16">
        <v>-82.4</v>
      </c>
      <c r="H84" s="16">
        <v>-713.375</v>
      </c>
      <c r="I84" s="17">
        <f t="shared" si="12"/>
        <v>-0.11859704783748144</v>
      </c>
      <c r="J84" s="18">
        <f t="shared" si="13"/>
        <v>694.47499999999991</v>
      </c>
      <c r="K84" s="17">
        <f t="shared" si="14"/>
        <v>0.11545496379454692</v>
      </c>
      <c r="L84" s="11">
        <v>79.333333333333329</v>
      </c>
      <c r="M84" s="14">
        <v>104.699699589498</v>
      </c>
      <c r="N84" s="15">
        <f t="shared" si="11"/>
        <v>104.699699589498</v>
      </c>
      <c r="T84" s="5"/>
      <c r="U84" s="5"/>
      <c r="V84" s="6"/>
      <c r="W84" s="3"/>
      <c r="X84" s="7"/>
      <c r="Y84" s="8"/>
    </row>
    <row r="85" spans="1:25">
      <c r="A85" s="2">
        <v>33147</v>
      </c>
      <c r="B85" s="10">
        <v>1803</v>
      </c>
      <c r="C85" s="10">
        <v>1718.5</v>
      </c>
      <c r="D85" s="16">
        <f t="shared" si="7"/>
        <v>-84.5</v>
      </c>
      <c r="E85" s="12">
        <v>6004.7330000000002</v>
      </c>
      <c r="F85" s="13">
        <f t="shared" si="6"/>
        <v>-1.4072232687115313E-2</v>
      </c>
      <c r="G85" s="16">
        <v>-54.3</v>
      </c>
      <c r="H85" s="16">
        <v>-726.95</v>
      </c>
      <c r="I85" s="17">
        <f t="shared" si="12"/>
        <v>-0.1210628349337098</v>
      </c>
      <c r="J85" s="18">
        <f t="shared" si="13"/>
        <v>642.45000000000005</v>
      </c>
      <c r="K85" s="17">
        <f t="shared" si="14"/>
        <v>0.10699060224659449</v>
      </c>
      <c r="L85" s="11">
        <v>76.246666666666655</v>
      </c>
      <c r="M85" s="14">
        <v>101.009645023581</v>
      </c>
      <c r="N85" s="15">
        <f t="shared" si="11"/>
        <v>101.009645023581</v>
      </c>
      <c r="T85" s="5"/>
      <c r="U85" s="5"/>
      <c r="V85" s="6"/>
      <c r="W85" s="3"/>
      <c r="X85" s="7"/>
      <c r="Y85" s="8"/>
    </row>
    <row r="86" spans="1:25">
      <c r="A86" s="2">
        <v>33239</v>
      </c>
      <c r="B86" s="10">
        <v>1842</v>
      </c>
      <c r="C86" s="10">
        <v>1766.4</v>
      </c>
      <c r="D86" s="16">
        <f t="shared" si="7"/>
        <v>-75.599999999999909</v>
      </c>
      <c r="E86" s="12">
        <v>6035.1779999999999</v>
      </c>
      <c r="F86" s="13">
        <f t="shared" si="6"/>
        <v>-1.2526556797496265E-2</v>
      </c>
      <c r="G86" s="16">
        <v>46.6</v>
      </c>
      <c r="H86" s="16">
        <v>-715.30000000000007</v>
      </c>
      <c r="I86" s="17">
        <f t="shared" si="12"/>
        <v>-0.11852177350858584</v>
      </c>
      <c r="J86" s="18">
        <f t="shared" si="13"/>
        <v>639.70000000000016</v>
      </c>
      <c r="K86" s="17">
        <f t="shared" si="14"/>
        <v>0.10599521671108958</v>
      </c>
      <c r="L86" s="11">
        <v>76.433333333333337</v>
      </c>
      <c r="M86" s="14">
        <v>102.26427571724</v>
      </c>
      <c r="N86" s="15">
        <f t="shared" si="11"/>
        <v>102.26427571724</v>
      </c>
      <c r="T86" s="5"/>
      <c r="U86" s="5"/>
      <c r="V86" s="6"/>
      <c r="W86" s="3"/>
      <c r="X86" s="7"/>
      <c r="Y86" s="8"/>
    </row>
    <row r="87" spans="1:25">
      <c r="A87" s="2">
        <v>33329</v>
      </c>
      <c r="B87" s="10">
        <v>1859.3</v>
      </c>
      <c r="C87" s="10">
        <v>1742.5</v>
      </c>
      <c r="D87" s="16">
        <f t="shared" si="7"/>
        <v>-116.79999999999995</v>
      </c>
      <c r="E87" s="12">
        <v>6126.8620000000001</v>
      </c>
      <c r="F87" s="13">
        <f t="shared" si="6"/>
        <v>-1.906359242300544E-2</v>
      </c>
      <c r="G87" s="16">
        <v>14.8</v>
      </c>
      <c r="H87" s="16">
        <v>-711.6</v>
      </c>
      <c r="I87" s="17">
        <f t="shared" si="12"/>
        <v>-0.11614428397440647</v>
      </c>
      <c r="J87" s="18">
        <f t="shared" si="13"/>
        <v>594.80000000000007</v>
      </c>
      <c r="K87" s="17">
        <f t="shared" si="14"/>
        <v>9.7080691551401033E-2</v>
      </c>
      <c r="L87" s="11">
        <v>79.489999999999995</v>
      </c>
      <c r="M87" s="14">
        <v>106.895448690013</v>
      </c>
      <c r="N87" s="15">
        <f t="shared" si="11"/>
        <v>106.895448690013</v>
      </c>
      <c r="T87" s="5"/>
      <c r="U87" s="5"/>
      <c r="V87" s="6"/>
      <c r="W87" s="3"/>
      <c r="X87" s="7"/>
      <c r="Y87" s="8"/>
    </row>
    <row r="88" spans="1:25">
      <c r="A88" s="2">
        <v>33420</v>
      </c>
      <c r="B88" s="10">
        <v>1882.3</v>
      </c>
      <c r="C88" s="10">
        <v>1789.2</v>
      </c>
      <c r="D88" s="16">
        <f t="shared" si="7"/>
        <v>-93.099999999999909</v>
      </c>
      <c r="E88" s="12">
        <v>6205.9369999999999</v>
      </c>
      <c r="F88" s="13">
        <f t="shared" si="6"/>
        <v>-1.5001763633759078E-2</v>
      </c>
      <c r="G88" s="16">
        <v>-13</v>
      </c>
      <c r="H88" s="16">
        <v>-714.85</v>
      </c>
      <c r="I88" s="17">
        <f t="shared" si="12"/>
        <v>-0.11518808521581834</v>
      </c>
      <c r="J88" s="18">
        <f t="shared" si="13"/>
        <v>621.75000000000011</v>
      </c>
      <c r="K88" s="17">
        <f t="shared" si="14"/>
        <v>0.10018632158205927</v>
      </c>
      <c r="L88" s="11">
        <v>79.319999999999993</v>
      </c>
      <c r="M88" s="14">
        <v>106.208289420182</v>
      </c>
      <c r="N88" s="15">
        <f t="shared" si="11"/>
        <v>106.208289420182</v>
      </c>
      <c r="T88" s="5"/>
      <c r="U88" s="5"/>
      <c r="V88" s="6"/>
      <c r="W88" s="3"/>
      <c r="X88" s="7"/>
      <c r="Y88" s="8"/>
    </row>
    <row r="89" spans="1:25">
      <c r="A89" s="2">
        <v>33512</v>
      </c>
      <c r="B89" s="10">
        <v>2026.5</v>
      </c>
      <c r="C89" s="10">
        <v>1878</v>
      </c>
      <c r="D89" s="16">
        <f t="shared" si="7"/>
        <v>-148.5</v>
      </c>
      <c r="E89" s="12">
        <v>6264.54</v>
      </c>
      <c r="F89" s="13">
        <f t="shared" si="6"/>
        <v>-2.3704853029911214E-2</v>
      </c>
      <c r="G89" s="16">
        <v>-16.8</v>
      </c>
      <c r="H89" s="16">
        <v>-719.05000000000007</v>
      </c>
      <c r="I89" s="17">
        <f t="shared" si="12"/>
        <v>-0.11478097354314923</v>
      </c>
      <c r="J89" s="18">
        <f t="shared" si="13"/>
        <v>570.55000000000007</v>
      </c>
      <c r="K89" s="17">
        <f t="shared" si="14"/>
        <v>9.1076120513238018E-2</v>
      </c>
      <c r="L89" s="11">
        <v>76.443333333333328</v>
      </c>
      <c r="M89" s="14">
        <v>102.132063399307</v>
      </c>
      <c r="N89" s="15">
        <f t="shared" si="11"/>
        <v>102.132063399307</v>
      </c>
      <c r="T89" s="5"/>
      <c r="U89" s="5"/>
      <c r="V89" s="6"/>
      <c r="W89" s="3"/>
      <c r="X89" s="7"/>
      <c r="Y89" s="8"/>
    </row>
    <row r="90" spans="1:25">
      <c r="A90" s="2">
        <v>33604</v>
      </c>
      <c r="B90" s="10">
        <v>2186.4</v>
      </c>
      <c r="C90" s="10">
        <v>1864.3</v>
      </c>
      <c r="D90" s="16">
        <f t="shared" si="7"/>
        <v>-322.10000000000014</v>
      </c>
      <c r="E90" s="12">
        <v>6363.1019999999999</v>
      </c>
      <c r="F90" s="13">
        <f t="shared" ref="F90:F153" si="15">(C90-B90)/E90</f>
        <v>-5.0619964916482581E-2</v>
      </c>
      <c r="G90" s="16">
        <v>-21.8</v>
      </c>
      <c r="H90" s="16">
        <v>-724.50000000000011</v>
      </c>
      <c r="I90" s="17">
        <f t="shared" si="12"/>
        <v>-0.1138595609499895</v>
      </c>
      <c r="J90" s="18">
        <f t="shared" si="13"/>
        <v>402.4</v>
      </c>
      <c r="K90" s="17">
        <f t="shared" si="14"/>
        <v>6.3239596033506928E-2</v>
      </c>
      <c r="L90" s="11">
        <v>76.63666666666667</v>
      </c>
      <c r="M90" s="14">
        <v>102.557878490935</v>
      </c>
      <c r="N90" s="15">
        <f t="shared" si="11"/>
        <v>102.557878490935</v>
      </c>
      <c r="T90" s="5"/>
      <c r="U90" s="5"/>
      <c r="V90" s="6"/>
      <c r="W90" s="3"/>
      <c r="X90" s="7"/>
      <c r="Y90" s="8"/>
    </row>
    <row r="91" spans="1:25">
      <c r="A91" s="2">
        <v>33695</v>
      </c>
      <c r="B91" s="10">
        <v>2226.3000000000002</v>
      </c>
      <c r="C91" s="10">
        <v>1909.2</v>
      </c>
      <c r="D91" s="16">
        <f t="shared" ref="D91:D154" si="16">C91-B91</f>
        <v>-317.10000000000014</v>
      </c>
      <c r="E91" s="12">
        <v>6470.7629999999999</v>
      </c>
      <c r="F91" s="13">
        <f t="shared" si="15"/>
        <v>-4.9005040054781818E-2</v>
      </c>
      <c r="G91" s="16">
        <v>-39.4</v>
      </c>
      <c r="H91" s="16">
        <v>-734.35000000000014</v>
      </c>
      <c r="I91" s="17">
        <f t="shared" si="12"/>
        <v>-0.11348738935423847</v>
      </c>
      <c r="J91" s="18">
        <f t="shared" si="13"/>
        <v>417.25</v>
      </c>
      <c r="K91" s="17">
        <f t="shared" si="14"/>
        <v>6.4482349299456648E-2</v>
      </c>
      <c r="L91" s="11">
        <v>76.676666666666662</v>
      </c>
      <c r="M91" s="14">
        <v>102.625740908804</v>
      </c>
      <c r="N91" s="15">
        <f t="shared" si="11"/>
        <v>102.625740908804</v>
      </c>
      <c r="T91" s="5"/>
      <c r="U91" s="5"/>
      <c r="V91" s="6"/>
      <c r="W91" s="3"/>
      <c r="X91" s="7"/>
      <c r="Y91" s="8"/>
    </row>
    <row r="92" spans="1:25">
      <c r="A92" s="2">
        <v>33786</v>
      </c>
      <c r="B92" s="10">
        <v>2275.5</v>
      </c>
      <c r="C92" s="10">
        <v>1949.9</v>
      </c>
      <c r="D92" s="16">
        <f t="shared" si="16"/>
        <v>-325.59999999999991</v>
      </c>
      <c r="E92" s="12">
        <v>6566.6409999999996</v>
      </c>
      <c r="F92" s="13">
        <f t="shared" si="15"/>
        <v>-4.9583950150465045E-2</v>
      </c>
      <c r="G92" s="16">
        <v>-52.7</v>
      </c>
      <c r="H92" s="16">
        <v>-747.52500000000009</v>
      </c>
      <c r="I92" s="17">
        <f t="shared" si="12"/>
        <v>-0.11383673936187469</v>
      </c>
      <c r="J92" s="18">
        <f t="shared" si="13"/>
        <v>421.92500000000018</v>
      </c>
      <c r="K92" s="17">
        <f t="shared" si="14"/>
        <v>6.4252789211409644E-2</v>
      </c>
      <c r="L92" s="11">
        <v>74.306666666666672</v>
      </c>
      <c r="M92" s="14">
        <v>98.703674237672701</v>
      </c>
      <c r="N92" s="15">
        <f t="shared" si="11"/>
        <v>98.703674237672701</v>
      </c>
      <c r="T92" s="5"/>
      <c r="U92" s="5"/>
      <c r="V92" s="6"/>
      <c r="W92" s="3"/>
      <c r="X92" s="7"/>
      <c r="Y92" s="8"/>
    </row>
    <row r="93" spans="1:25">
      <c r="A93" s="2">
        <v>33878</v>
      </c>
      <c r="B93" s="10">
        <v>2329.4</v>
      </c>
      <c r="C93" s="10">
        <v>1891.1</v>
      </c>
      <c r="D93" s="16">
        <f t="shared" si="16"/>
        <v>-438.30000000000018</v>
      </c>
      <c r="E93" s="12">
        <v>6680.8029999999999</v>
      </c>
      <c r="F93" s="13">
        <f t="shared" si="15"/>
        <v>-6.5605885999033373E-2</v>
      </c>
      <c r="G93" s="16">
        <v>-68.400000000000006</v>
      </c>
      <c r="H93" s="16">
        <v>-764.62500000000011</v>
      </c>
      <c r="I93" s="17">
        <f t="shared" si="12"/>
        <v>-0.11445106224506248</v>
      </c>
      <c r="J93" s="18">
        <f t="shared" si="13"/>
        <v>326.32499999999993</v>
      </c>
      <c r="K93" s="17">
        <f t="shared" si="14"/>
        <v>4.8845176246029097E-2</v>
      </c>
      <c r="L93" s="11">
        <v>77.72</v>
      </c>
      <c r="M93" s="14">
        <v>103.270944295991</v>
      </c>
      <c r="N93" s="15">
        <f t="shared" si="11"/>
        <v>103.270944295991</v>
      </c>
      <c r="T93" s="5"/>
      <c r="U93" s="5"/>
      <c r="V93" s="6"/>
      <c r="W93" s="3"/>
      <c r="X93" s="7"/>
      <c r="Y93" s="8"/>
    </row>
    <row r="94" spans="1:25">
      <c r="A94" s="2">
        <v>33970</v>
      </c>
      <c r="B94" s="10">
        <v>2390.1999999999998</v>
      </c>
      <c r="C94" s="10">
        <v>1958.3</v>
      </c>
      <c r="D94" s="16">
        <f t="shared" si="16"/>
        <v>-431.89999999999986</v>
      </c>
      <c r="E94" s="12">
        <v>6729.4589999999998</v>
      </c>
      <c r="F94" s="13">
        <f t="shared" si="15"/>
        <v>-6.4180493558248869E-2</v>
      </c>
      <c r="G94" s="16">
        <v>-57.3</v>
      </c>
      <c r="H94" s="16">
        <v>-778.95000000000016</v>
      </c>
      <c r="I94" s="17">
        <f t="shared" si="12"/>
        <v>-0.11575224694882608</v>
      </c>
      <c r="J94" s="18">
        <f t="shared" si="13"/>
        <v>347.0500000000003</v>
      </c>
      <c r="K94" s="17">
        <f t="shared" si="14"/>
        <v>5.1571753390577207E-2</v>
      </c>
      <c r="L94" s="11">
        <v>79.11</v>
      </c>
      <c r="M94" s="14">
        <v>105.88928060171099</v>
      </c>
      <c r="N94" s="15">
        <f t="shared" si="11"/>
        <v>105.88928060171099</v>
      </c>
      <c r="T94" s="5"/>
      <c r="U94" s="5"/>
      <c r="V94" s="6"/>
      <c r="W94" s="3"/>
      <c r="X94" s="7"/>
      <c r="Y94" s="8"/>
    </row>
    <row r="95" spans="1:25">
      <c r="A95" s="2">
        <v>34060</v>
      </c>
      <c r="B95" s="10">
        <v>2434.1999999999998</v>
      </c>
      <c r="C95" s="10">
        <v>2056.6</v>
      </c>
      <c r="D95" s="16">
        <f t="shared" si="16"/>
        <v>-377.59999999999991</v>
      </c>
      <c r="E95" s="12">
        <v>6808.9390000000003</v>
      </c>
      <c r="F95" s="13">
        <f t="shared" si="15"/>
        <v>-5.5456510918955197E-2</v>
      </c>
      <c r="G95" s="16">
        <v>-74.5</v>
      </c>
      <c r="H95" s="16">
        <v>-797.57500000000016</v>
      </c>
      <c r="I95" s="17">
        <f t="shared" si="12"/>
        <v>-0.11713645841150877</v>
      </c>
      <c r="J95" s="18">
        <f t="shared" si="13"/>
        <v>419.97500000000025</v>
      </c>
      <c r="K95" s="17">
        <f t="shared" si="14"/>
        <v>6.1679947492553573E-2</v>
      </c>
      <c r="L95" s="11">
        <v>76.966666666666654</v>
      </c>
      <c r="M95" s="14">
        <v>103.25965769164701</v>
      </c>
      <c r="N95" s="15">
        <f t="shared" si="11"/>
        <v>103.25965769164701</v>
      </c>
      <c r="T95" s="5"/>
      <c r="U95" s="5"/>
      <c r="V95" s="6"/>
      <c r="W95" s="3"/>
      <c r="X95" s="7"/>
      <c r="Y95" s="8"/>
    </row>
    <row r="96" spans="1:25">
      <c r="A96" s="2">
        <v>34151</v>
      </c>
      <c r="B96" s="10">
        <v>2523.5</v>
      </c>
      <c r="C96" s="10">
        <v>2153.5</v>
      </c>
      <c r="D96" s="16">
        <f t="shared" si="16"/>
        <v>-370</v>
      </c>
      <c r="E96" s="12">
        <v>6882.098</v>
      </c>
      <c r="F96" s="13">
        <f t="shared" si="15"/>
        <v>-5.3762675277219243E-2</v>
      </c>
      <c r="G96" s="16">
        <v>-77.400000000000006</v>
      </c>
      <c r="H96" s="16">
        <v>-816.92500000000018</v>
      </c>
      <c r="I96" s="17">
        <f t="shared" si="12"/>
        <v>-0.11870290135362795</v>
      </c>
      <c r="J96" s="18">
        <f t="shared" si="13"/>
        <v>446.92500000000018</v>
      </c>
      <c r="K96" s="17">
        <f t="shared" si="14"/>
        <v>6.4940226076408702E-2</v>
      </c>
      <c r="L96" s="11">
        <v>77.739999999999995</v>
      </c>
      <c r="M96" s="14">
        <v>104.32440358325999</v>
      </c>
      <c r="N96" s="15">
        <f t="shared" si="11"/>
        <v>104.32440358325999</v>
      </c>
      <c r="T96" s="5"/>
      <c r="U96" s="5"/>
      <c r="V96" s="6"/>
      <c r="W96" s="3"/>
      <c r="X96" s="7"/>
      <c r="Y96" s="8"/>
    </row>
    <row r="97" spans="1:25">
      <c r="A97" s="2">
        <v>34243</v>
      </c>
      <c r="B97" s="10">
        <v>2648.9</v>
      </c>
      <c r="C97" s="10">
        <v>2472.5</v>
      </c>
      <c r="D97" s="16">
        <f t="shared" si="16"/>
        <v>-176.40000000000009</v>
      </c>
      <c r="E97" s="12">
        <v>7013.7380000000003</v>
      </c>
      <c r="F97" s="13">
        <f t="shared" si="15"/>
        <v>-2.5150640072383667E-2</v>
      </c>
      <c r="G97" s="16">
        <v>-108.3</v>
      </c>
      <c r="H97" s="16">
        <v>-844.00000000000023</v>
      </c>
      <c r="I97" s="17">
        <f t="shared" si="12"/>
        <v>-0.12033526202432999</v>
      </c>
      <c r="J97" s="18">
        <f t="shared" si="13"/>
        <v>667.60000000000014</v>
      </c>
      <c r="K97" s="17">
        <f t="shared" si="14"/>
        <v>9.5184621951946324E-2</v>
      </c>
      <c r="L97" s="11">
        <v>78.786666666666676</v>
      </c>
      <c r="M97" s="14">
        <v>105.544273844323</v>
      </c>
      <c r="N97" s="15">
        <f t="shared" si="11"/>
        <v>105.544273844323</v>
      </c>
      <c r="T97" s="5"/>
      <c r="U97" s="5"/>
      <c r="V97" s="6"/>
      <c r="W97" s="3"/>
      <c r="X97" s="7"/>
      <c r="Y97" s="8"/>
    </row>
    <row r="98" spans="1:25">
      <c r="A98" s="2">
        <v>34335</v>
      </c>
      <c r="B98" s="10">
        <v>2735.1</v>
      </c>
      <c r="C98" s="10">
        <v>2514</v>
      </c>
      <c r="D98" s="16">
        <f t="shared" si="16"/>
        <v>-221.09999999999991</v>
      </c>
      <c r="E98" s="12">
        <v>7115.652</v>
      </c>
      <c r="F98" s="13">
        <f t="shared" si="15"/>
        <v>-3.1072345865143475E-2</v>
      </c>
      <c r="G98" s="16">
        <v>-93</v>
      </c>
      <c r="H98" s="16">
        <v>-867.25000000000023</v>
      </c>
      <c r="I98" s="17">
        <f t="shared" ref="I98:I129" si="17">H98/E98</f>
        <v>-0.12187920376094843</v>
      </c>
      <c r="J98" s="18">
        <f t="shared" ref="J98:J129" si="18">D98-H98</f>
        <v>646.15000000000032</v>
      </c>
      <c r="K98" s="17">
        <f t="shared" ref="K98:K129" si="19">J98/E98</f>
        <v>9.0806857895804949E-2</v>
      </c>
      <c r="L98" s="11">
        <v>79.193333333333342</v>
      </c>
      <c r="M98" s="14">
        <v>106.918729831295</v>
      </c>
      <c r="N98" s="15">
        <f t="shared" si="11"/>
        <v>106.918729831295</v>
      </c>
      <c r="T98" s="5"/>
      <c r="U98" s="5"/>
      <c r="V98" s="6"/>
      <c r="W98" s="3"/>
      <c r="X98" s="7"/>
      <c r="Y98" s="8"/>
    </row>
    <row r="99" spans="1:25">
      <c r="A99" s="2">
        <v>34425</v>
      </c>
      <c r="B99" s="10">
        <v>2780.1</v>
      </c>
      <c r="C99" s="10">
        <v>2587.5</v>
      </c>
      <c r="D99" s="16">
        <f t="shared" si="16"/>
        <v>-192.59999999999991</v>
      </c>
      <c r="E99" s="12">
        <v>7246.9309999999996</v>
      </c>
      <c r="F99" s="13">
        <f t="shared" si="15"/>
        <v>-2.6576767461978033E-2</v>
      </c>
      <c r="G99" s="16">
        <v>-109.2</v>
      </c>
      <c r="H99" s="16">
        <v>-894.55000000000018</v>
      </c>
      <c r="I99" s="17">
        <f t="shared" si="17"/>
        <v>-0.12343845967348112</v>
      </c>
      <c r="J99" s="18">
        <f t="shared" si="18"/>
        <v>701.95000000000027</v>
      </c>
      <c r="K99" s="17">
        <f t="shared" si="19"/>
        <v>9.6861692211503092E-2</v>
      </c>
      <c r="L99" s="11">
        <v>78.659999999999982</v>
      </c>
      <c r="M99" s="14">
        <v>105.68886494558799</v>
      </c>
      <c r="N99" s="15">
        <f t="shared" si="11"/>
        <v>105.68886494558799</v>
      </c>
      <c r="T99" s="5"/>
      <c r="U99" s="5"/>
      <c r="V99" s="6"/>
      <c r="W99" s="3"/>
      <c r="X99" s="7"/>
      <c r="Y99" s="8"/>
    </row>
    <row r="100" spans="1:25">
      <c r="A100" s="2">
        <v>34516</v>
      </c>
      <c r="B100" s="10">
        <v>2866.8</v>
      </c>
      <c r="C100" s="10">
        <v>2629</v>
      </c>
      <c r="D100" s="16">
        <f t="shared" si="16"/>
        <v>-237.80000000000018</v>
      </c>
      <c r="E100" s="12">
        <v>7331.0749999999998</v>
      </c>
      <c r="F100" s="13">
        <f t="shared" si="15"/>
        <v>-3.2437261929526048E-2</v>
      </c>
      <c r="G100" s="16">
        <v>-121.7</v>
      </c>
      <c r="H100" s="16">
        <v>-924.97500000000014</v>
      </c>
      <c r="I100" s="17">
        <f t="shared" si="17"/>
        <v>-0.12617180972776845</v>
      </c>
      <c r="J100" s="18">
        <f t="shared" si="18"/>
        <v>687.17499999999995</v>
      </c>
      <c r="K100" s="17">
        <f t="shared" si="19"/>
        <v>9.3734547798242404E-2</v>
      </c>
      <c r="L100" s="11">
        <v>76.87</v>
      </c>
      <c r="M100" s="14">
        <v>102.577926287997</v>
      </c>
      <c r="N100" s="15">
        <f t="shared" si="11"/>
        <v>102.577926287997</v>
      </c>
      <c r="T100" s="5"/>
      <c r="U100" s="5"/>
      <c r="V100" s="6"/>
      <c r="W100" s="3"/>
      <c r="X100" s="7"/>
      <c r="Y100" s="8"/>
    </row>
    <row r="101" spans="1:25">
      <c r="A101" s="2">
        <v>34608</v>
      </c>
      <c r="B101" s="10">
        <v>2828.7</v>
      </c>
      <c r="C101" s="10">
        <v>2704.4</v>
      </c>
      <c r="D101" s="16">
        <f t="shared" si="16"/>
        <v>-124.29999999999973</v>
      </c>
      <c r="E101" s="12">
        <v>7455.2879999999996</v>
      </c>
      <c r="F101" s="13">
        <f t="shared" si="15"/>
        <v>-1.667272947738568E-2</v>
      </c>
      <c r="G101" s="16">
        <v>-138.5</v>
      </c>
      <c r="H101" s="16">
        <v>-959.60000000000014</v>
      </c>
      <c r="I101" s="17">
        <f t="shared" si="17"/>
        <v>-0.12871400809733979</v>
      </c>
      <c r="J101" s="18">
        <f t="shared" si="18"/>
        <v>835.30000000000041</v>
      </c>
      <c r="K101" s="17">
        <f t="shared" si="19"/>
        <v>0.11204127861995411</v>
      </c>
      <c r="L101" s="11">
        <v>76.766666666666666</v>
      </c>
      <c r="M101" s="14">
        <v>101.59889036118599</v>
      </c>
      <c r="N101" s="15">
        <f t="shared" si="11"/>
        <v>101.59889036118599</v>
      </c>
      <c r="T101" s="5"/>
      <c r="U101" s="5"/>
      <c r="V101" s="6"/>
      <c r="W101" s="3"/>
      <c r="X101" s="7"/>
      <c r="Y101" s="8"/>
    </row>
    <row r="102" spans="1:25">
      <c r="A102" s="2">
        <v>34700</v>
      </c>
      <c r="B102" s="10">
        <v>2932.8</v>
      </c>
      <c r="C102" s="10">
        <v>2779</v>
      </c>
      <c r="D102" s="16">
        <f t="shared" si="16"/>
        <v>-153.80000000000018</v>
      </c>
      <c r="E102" s="12">
        <v>7522.2889999999998</v>
      </c>
      <c r="F102" s="13">
        <f t="shared" si="15"/>
        <v>-2.0445904165607064E-2</v>
      </c>
      <c r="G102" s="16">
        <v>-119.2</v>
      </c>
      <c r="H102" s="16">
        <v>-989.40000000000009</v>
      </c>
      <c r="I102" s="17">
        <f t="shared" si="17"/>
        <v>-0.13152911301333944</v>
      </c>
      <c r="J102" s="18">
        <f t="shared" si="18"/>
        <v>835.59999999999991</v>
      </c>
      <c r="K102" s="17">
        <f t="shared" si="19"/>
        <v>0.11108320884773237</v>
      </c>
      <c r="L102" s="11">
        <v>79.693333333333328</v>
      </c>
      <c r="M102" s="14">
        <v>103.015534881536</v>
      </c>
      <c r="N102" s="15">
        <f t="shared" si="11"/>
        <v>103.015534881536</v>
      </c>
      <c r="T102" s="5"/>
      <c r="U102" s="5"/>
      <c r="V102" s="6"/>
      <c r="W102" s="3"/>
      <c r="X102" s="7"/>
      <c r="Y102" s="8"/>
    </row>
    <row r="103" spans="1:25">
      <c r="A103" s="2">
        <v>34790</v>
      </c>
      <c r="B103" s="10">
        <v>3060.2</v>
      </c>
      <c r="C103" s="10">
        <v>2869.2</v>
      </c>
      <c r="D103" s="16">
        <f t="shared" si="16"/>
        <v>-191</v>
      </c>
      <c r="E103" s="12">
        <v>7580.9970000000003</v>
      </c>
      <c r="F103" s="13">
        <f t="shared" si="15"/>
        <v>-2.5194575330922831E-2</v>
      </c>
      <c r="G103" s="16">
        <v>-119.4</v>
      </c>
      <c r="H103" s="16">
        <v>-1019.2500000000001</v>
      </c>
      <c r="I103" s="17">
        <f t="shared" si="17"/>
        <v>-0.13444801521488534</v>
      </c>
      <c r="J103" s="18">
        <f t="shared" si="18"/>
        <v>828.25000000000011</v>
      </c>
      <c r="K103" s="17">
        <f t="shared" si="19"/>
        <v>0.10925343988396251</v>
      </c>
      <c r="L103" s="11">
        <v>74.836666666666659</v>
      </c>
      <c r="M103" s="14">
        <v>97.850593455467305</v>
      </c>
      <c r="N103" s="15">
        <f t="shared" si="11"/>
        <v>97.850593455467305</v>
      </c>
      <c r="T103" s="5"/>
      <c r="U103" s="5"/>
      <c r="V103" s="6"/>
      <c r="W103" s="3"/>
      <c r="X103" s="7"/>
      <c r="Y103" s="8"/>
    </row>
    <row r="104" spans="1:25">
      <c r="A104" s="2">
        <v>34881</v>
      </c>
      <c r="B104" s="10">
        <v>3208.1</v>
      </c>
      <c r="C104" s="10">
        <v>2966.2</v>
      </c>
      <c r="D104" s="16">
        <f t="shared" si="16"/>
        <v>-241.90000000000009</v>
      </c>
      <c r="E104" s="12">
        <v>7683.125</v>
      </c>
      <c r="F104" s="13">
        <f t="shared" si="15"/>
        <v>-3.1484584723013111E-2</v>
      </c>
      <c r="G104" s="16">
        <v>-99.8</v>
      </c>
      <c r="H104" s="16">
        <v>-1044.2</v>
      </c>
      <c r="I104" s="17">
        <f t="shared" si="17"/>
        <v>-0.13590824046205158</v>
      </c>
      <c r="J104" s="18">
        <f t="shared" si="18"/>
        <v>802.3</v>
      </c>
      <c r="K104" s="17">
        <f t="shared" si="19"/>
        <v>0.10442365573903847</v>
      </c>
      <c r="L104" s="11">
        <v>76.723333333333343</v>
      </c>
      <c r="M104" s="14">
        <v>100.087566574242</v>
      </c>
      <c r="N104" s="15">
        <f t="shared" si="11"/>
        <v>100.087566574242</v>
      </c>
      <c r="T104" s="5"/>
      <c r="U104" s="5"/>
      <c r="V104" s="6"/>
      <c r="W104" s="3"/>
      <c r="X104" s="7"/>
      <c r="Y104" s="8"/>
    </row>
    <row r="105" spans="1:25">
      <c r="A105" s="2">
        <v>34973</v>
      </c>
      <c r="B105" s="10">
        <v>3566</v>
      </c>
      <c r="C105" s="10">
        <v>3305.9</v>
      </c>
      <c r="D105" s="16">
        <f t="shared" si="16"/>
        <v>-260.09999999999991</v>
      </c>
      <c r="E105" s="12">
        <v>7772.5860000000002</v>
      </c>
      <c r="F105" s="13">
        <f t="shared" si="15"/>
        <v>-3.3463766113363033E-2</v>
      </c>
      <c r="G105" s="16">
        <v>-85.1</v>
      </c>
      <c r="H105" s="16">
        <v>-1065.4750000000001</v>
      </c>
      <c r="I105" s="17">
        <f t="shared" si="17"/>
        <v>-0.13708114648072084</v>
      </c>
      <c r="J105" s="18">
        <f t="shared" si="18"/>
        <v>805.37500000000023</v>
      </c>
      <c r="K105" s="17">
        <f t="shared" si="19"/>
        <v>0.10361738036735782</v>
      </c>
      <c r="L105" s="11">
        <v>79.02</v>
      </c>
      <c r="M105" s="14">
        <v>102.019974244555</v>
      </c>
      <c r="N105" s="15">
        <f t="shared" si="11"/>
        <v>102.019974244555</v>
      </c>
      <c r="T105" s="5"/>
      <c r="U105" s="5"/>
      <c r="V105" s="6"/>
      <c r="W105" s="3"/>
      <c r="X105" s="7"/>
      <c r="Y105" s="8"/>
    </row>
    <row r="106" spans="1:25">
      <c r="A106" s="2">
        <v>35065</v>
      </c>
      <c r="B106" s="10">
        <v>3692.2</v>
      </c>
      <c r="C106" s="10">
        <v>3424.9</v>
      </c>
      <c r="D106" s="16">
        <f t="shared" si="16"/>
        <v>-267.29999999999973</v>
      </c>
      <c r="E106" s="12">
        <v>7868.4679999999998</v>
      </c>
      <c r="F106" s="13">
        <f t="shared" si="15"/>
        <v>-3.3971034768140347E-2</v>
      </c>
      <c r="G106" s="16">
        <v>-102.9</v>
      </c>
      <c r="H106" s="16">
        <v>-1091.2</v>
      </c>
      <c r="I106" s="17">
        <f t="shared" si="17"/>
        <v>-0.13868010901232616</v>
      </c>
      <c r="J106" s="18">
        <f t="shared" si="18"/>
        <v>823.90000000000032</v>
      </c>
      <c r="K106" s="17">
        <f t="shared" si="19"/>
        <v>0.10470907424418582</v>
      </c>
      <c r="L106" s="11">
        <v>80.156666666666666</v>
      </c>
      <c r="M106" s="14">
        <v>103.842039560833</v>
      </c>
      <c r="N106" s="15">
        <f t="shared" si="11"/>
        <v>103.842039560833</v>
      </c>
      <c r="T106" s="5"/>
      <c r="U106" s="5"/>
      <c r="V106" s="6"/>
      <c r="W106" s="3"/>
      <c r="X106" s="7"/>
      <c r="Y106" s="8"/>
    </row>
    <row r="107" spans="1:25">
      <c r="A107" s="2">
        <v>35156</v>
      </c>
      <c r="B107" s="10">
        <v>3786.4</v>
      </c>
      <c r="C107" s="10">
        <v>3505.2</v>
      </c>
      <c r="D107" s="16">
        <f t="shared" si="16"/>
        <v>-281.20000000000027</v>
      </c>
      <c r="E107" s="12">
        <v>8032.84</v>
      </c>
      <c r="F107" s="13">
        <f t="shared" si="15"/>
        <v>-3.5006299142022031E-2</v>
      </c>
      <c r="G107" s="16">
        <v>-109.3</v>
      </c>
      <c r="H107" s="16">
        <v>-1118.5250000000001</v>
      </c>
      <c r="I107" s="17">
        <f t="shared" si="17"/>
        <v>-0.13924402826397639</v>
      </c>
      <c r="J107" s="18">
        <f t="shared" si="18"/>
        <v>837.32499999999982</v>
      </c>
      <c r="K107" s="17">
        <f t="shared" si="19"/>
        <v>0.10423772912195435</v>
      </c>
      <c r="L107" s="11">
        <v>80.290000000000006</v>
      </c>
      <c r="M107" s="14">
        <v>103.93348657812599</v>
      </c>
      <c r="N107" s="15">
        <f t="shared" ref="N107:N170" si="20">M107</f>
        <v>103.93348657812599</v>
      </c>
      <c r="T107" s="5"/>
      <c r="U107" s="5"/>
      <c r="V107" s="6"/>
      <c r="W107" s="3"/>
      <c r="X107" s="7"/>
      <c r="Y107" s="8"/>
    </row>
    <row r="108" spans="1:25">
      <c r="A108" s="2">
        <v>35247</v>
      </c>
      <c r="B108" s="10">
        <v>3922.8</v>
      </c>
      <c r="C108" s="10">
        <v>3621.5</v>
      </c>
      <c r="D108" s="16">
        <f t="shared" si="16"/>
        <v>-301.30000000000018</v>
      </c>
      <c r="E108" s="12">
        <v>8131.4080000000004</v>
      </c>
      <c r="F108" s="13">
        <f t="shared" si="15"/>
        <v>-3.7053853403986148E-2</v>
      </c>
      <c r="G108" s="16">
        <v>-133.5</v>
      </c>
      <c r="H108" s="16">
        <v>-1151.9000000000001</v>
      </c>
      <c r="I108" s="17">
        <f t="shared" si="17"/>
        <v>-0.14166058325938141</v>
      </c>
      <c r="J108" s="18">
        <f t="shared" si="18"/>
        <v>850.59999999999991</v>
      </c>
      <c r="K108" s="17">
        <f t="shared" si="19"/>
        <v>0.10460672985539526</v>
      </c>
      <c r="L108" s="11">
        <v>80.256666666666661</v>
      </c>
      <c r="M108" s="14">
        <v>103.388627152799</v>
      </c>
      <c r="N108" s="15">
        <f t="shared" si="20"/>
        <v>103.388627152799</v>
      </c>
      <c r="T108" s="5"/>
      <c r="U108" s="5"/>
      <c r="V108" s="6"/>
      <c r="W108" s="3"/>
      <c r="X108" s="7"/>
      <c r="Y108" s="8"/>
    </row>
    <row r="109" spans="1:25">
      <c r="A109" s="2">
        <v>35339</v>
      </c>
      <c r="B109" s="10">
        <v>4231.1000000000004</v>
      </c>
      <c r="C109" s="10">
        <v>3949.6</v>
      </c>
      <c r="D109" s="16">
        <f t="shared" si="16"/>
        <v>-281.50000000000045</v>
      </c>
      <c r="E109" s="12">
        <v>8259.7710000000006</v>
      </c>
      <c r="F109" s="13">
        <f t="shared" si="15"/>
        <v>-3.4080848004139637E-2</v>
      </c>
      <c r="G109" s="16">
        <v>-114.3</v>
      </c>
      <c r="H109" s="16">
        <v>-1180.4750000000001</v>
      </c>
      <c r="I109" s="17">
        <f t="shared" si="17"/>
        <v>-0.14291861118183544</v>
      </c>
      <c r="J109" s="18">
        <f t="shared" si="18"/>
        <v>898.97499999999968</v>
      </c>
      <c r="K109" s="17">
        <f t="shared" si="19"/>
        <v>0.10883776317769579</v>
      </c>
      <c r="L109" s="11">
        <v>80.743333333333339</v>
      </c>
      <c r="M109" s="14">
        <v>103.822325124947</v>
      </c>
      <c r="N109" s="15">
        <f t="shared" si="20"/>
        <v>103.822325124947</v>
      </c>
      <c r="T109" s="5"/>
      <c r="U109" s="5"/>
      <c r="V109" s="6"/>
      <c r="W109" s="3"/>
      <c r="X109" s="7"/>
      <c r="Y109" s="8"/>
    </row>
    <row r="110" spans="1:25">
      <c r="A110" s="2">
        <v>35431</v>
      </c>
      <c r="B110" s="10">
        <v>4363.2</v>
      </c>
      <c r="C110" s="10">
        <v>4043.7</v>
      </c>
      <c r="D110" s="16">
        <f t="shared" si="16"/>
        <v>-319.5</v>
      </c>
      <c r="E110" s="12">
        <v>8362.6550000000007</v>
      </c>
      <c r="F110" s="13">
        <f t="shared" si="15"/>
        <v>-3.8205569881813846E-2</v>
      </c>
      <c r="G110" s="16">
        <v>-132</v>
      </c>
      <c r="H110" s="16">
        <v>-1213.4750000000001</v>
      </c>
      <c r="I110" s="17">
        <f t="shared" si="17"/>
        <v>-0.1451064285206074</v>
      </c>
      <c r="J110" s="18">
        <f t="shared" si="18"/>
        <v>893.97500000000014</v>
      </c>
      <c r="K110" s="17">
        <f t="shared" si="19"/>
        <v>0.10690085863879355</v>
      </c>
      <c r="L110" s="11">
        <v>83.333333333333329</v>
      </c>
      <c r="M110" s="14">
        <v>106.979511196365</v>
      </c>
      <c r="N110" s="15">
        <f t="shared" si="20"/>
        <v>106.979511196365</v>
      </c>
      <c r="T110" s="5"/>
      <c r="U110" s="5"/>
      <c r="V110" s="6"/>
      <c r="W110" s="3"/>
      <c r="X110" s="7"/>
      <c r="Y110" s="8"/>
    </row>
    <row r="111" spans="1:25">
      <c r="A111" s="2">
        <v>35521</v>
      </c>
      <c r="B111" s="10">
        <v>4587.6000000000004</v>
      </c>
      <c r="C111" s="10">
        <v>4270</v>
      </c>
      <c r="D111" s="16">
        <f t="shared" si="16"/>
        <v>-317.60000000000036</v>
      </c>
      <c r="E111" s="12">
        <v>8518.8250000000007</v>
      </c>
      <c r="F111" s="13">
        <f t="shared" si="15"/>
        <v>-3.7282136914421921E-2</v>
      </c>
      <c r="G111" s="16">
        <v>-101.9</v>
      </c>
      <c r="H111" s="16">
        <v>-1238.95</v>
      </c>
      <c r="I111" s="17">
        <f t="shared" si="17"/>
        <v>-0.14543672396134444</v>
      </c>
      <c r="J111" s="18">
        <f t="shared" si="18"/>
        <v>921.34999999999968</v>
      </c>
      <c r="K111" s="17">
        <f t="shared" si="19"/>
        <v>0.1081545870469225</v>
      </c>
      <c r="L111" s="11">
        <v>83.696666666666658</v>
      </c>
      <c r="M111" s="14">
        <v>107.631517085512</v>
      </c>
      <c r="N111" s="15">
        <f t="shared" si="20"/>
        <v>107.631517085512</v>
      </c>
      <c r="T111" s="5"/>
      <c r="U111" s="5"/>
      <c r="V111" s="6"/>
      <c r="W111" s="3"/>
      <c r="X111" s="7"/>
      <c r="Y111" s="8"/>
    </row>
    <row r="112" spans="1:25">
      <c r="A112" s="2">
        <v>35612</v>
      </c>
      <c r="B112" s="10">
        <v>4799.2</v>
      </c>
      <c r="C112" s="10">
        <v>4403.3999999999996</v>
      </c>
      <c r="D112" s="16">
        <f t="shared" si="16"/>
        <v>-395.80000000000018</v>
      </c>
      <c r="E112" s="12">
        <v>8662.8230000000003</v>
      </c>
      <c r="F112" s="13">
        <f t="shared" si="15"/>
        <v>-4.5689494059846333E-2</v>
      </c>
      <c r="G112" s="16">
        <v>-122.8</v>
      </c>
      <c r="H112" s="16">
        <v>-1269.6500000000001</v>
      </c>
      <c r="I112" s="17">
        <f t="shared" si="17"/>
        <v>-0.14656307764801382</v>
      </c>
      <c r="J112" s="18">
        <f t="shared" si="18"/>
        <v>873.84999999999991</v>
      </c>
      <c r="K112" s="17">
        <f t="shared" si="19"/>
        <v>0.10087358358816749</v>
      </c>
      <c r="L112" s="11">
        <v>84.356666666666669</v>
      </c>
      <c r="M112" s="14">
        <v>108.790739806018</v>
      </c>
      <c r="N112" s="15">
        <f t="shared" si="20"/>
        <v>108.790739806018</v>
      </c>
      <c r="T112" s="5"/>
      <c r="U112" s="5"/>
      <c r="V112" s="6"/>
      <c r="W112" s="3"/>
      <c r="X112" s="7"/>
      <c r="Y112" s="8"/>
    </row>
    <row r="113" spans="1:25">
      <c r="A113" s="2">
        <v>35704</v>
      </c>
      <c r="B113" s="10">
        <v>5228</v>
      </c>
      <c r="C113" s="10">
        <v>4592.7</v>
      </c>
      <c r="D113" s="16">
        <f t="shared" si="16"/>
        <v>-635.30000000000018</v>
      </c>
      <c r="E113" s="12">
        <v>8765.9069999999992</v>
      </c>
      <c r="F113" s="13">
        <f t="shared" si="15"/>
        <v>-7.2473960766410161E-2</v>
      </c>
      <c r="G113" s="16">
        <v>-163.80000000000001</v>
      </c>
      <c r="H113" s="16">
        <v>-1310.6000000000001</v>
      </c>
      <c r="I113" s="17">
        <f t="shared" si="17"/>
        <v>-0.14951105458910302</v>
      </c>
      <c r="J113" s="18">
        <f t="shared" si="18"/>
        <v>675.3</v>
      </c>
      <c r="K113" s="17">
        <f t="shared" si="19"/>
        <v>7.7037093822692845E-2</v>
      </c>
      <c r="L113" s="11">
        <v>86.58</v>
      </c>
      <c r="M113" s="14">
        <v>112.066603404953</v>
      </c>
      <c r="N113" s="15">
        <f t="shared" si="20"/>
        <v>112.066603404953</v>
      </c>
      <c r="T113" s="5"/>
      <c r="U113" s="5"/>
      <c r="V113" s="6"/>
      <c r="W113" s="3"/>
      <c r="X113" s="7"/>
      <c r="Y113" s="8"/>
    </row>
    <row r="114" spans="1:25">
      <c r="A114" s="2">
        <v>35796</v>
      </c>
      <c r="B114" s="10">
        <v>5479.7</v>
      </c>
      <c r="C114" s="10">
        <v>4834.1000000000004</v>
      </c>
      <c r="D114" s="16">
        <f t="shared" si="16"/>
        <v>-645.59999999999945</v>
      </c>
      <c r="E114" s="12">
        <v>8866.48</v>
      </c>
      <c r="F114" s="13">
        <f t="shared" si="15"/>
        <v>-7.2813562992303543E-2</v>
      </c>
      <c r="G114" s="16">
        <v>-164.9</v>
      </c>
      <c r="H114" s="16">
        <v>-1351.825</v>
      </c>
      <c r="I114" s="17">
        <f t="shared" si="17"/>
        <v>-0.15246467594806509</v>
      </c>
      <c r="J114" s="18">
        <f t="shared" si="18"/>
        <v>706.22500000000059</v>
      </c>
      <c r="K114" s="17">
        <f t="shared" si="19"/>
        <v>7.9651112955761549E-2</v>
      </c>
      <c r="L114" s="11">
        <v>89.633333333333326</v>
      </c>
      <c r="M114" s="14">
        <v>116.536657770546</v>
      </c>
      <c r="N114" s="15">
        <f t="shared" si="20"/>
        <v>116.536657770546</v>
      </c>
      <c r="T114" s="5"/>
      <c r="U114" s="5"/>
      <c r="V114" s="6"/>
      <c r="W114" s="3"/>
      <c r="X114" s="7"/>
      <c r="Y114" s="8"/>
    </row>
    <row r="115" spans="1:25">
      <c r="A115" s="2">
        <v>35886</v>
      </c>
      <c r="B115" s="10">
        <v>5606.7</v>
      </c>
      <c r="C115" s="10">
        <v>4904.8</v>
      </c>
      <c r="D115" s="16">
        <f t="shared" si="16"/>
        <v>-701.89999999999964</v>
      </c>
      <c r="E115" s="12">
        <v>8969.6990000000005</v>
      </c>
      <c r="F115" s="13">
        <f t="shared" si="15"/>
        <v>-7.8252347152340293E-2</v>
      </c>
      <c r="G115" s="16">
        <v>-196.1</v>
      </c>
      <c r="H115" s="16">
        <v>-1400.8500000000001</v>
      </c>
      <c r="I115" s="17">
        <f t="shared" si="17"/>
        <v>-0.15617580924398913</v>
      </c>
      <c r="J115" s="18">
        <f t="shared" si="18"/>
        <v>698.9500000000005</v>
      </c>
      <c r="K115" s="17">
        <f t="shared" si="19"/>
        <v>7.792346209164884E-2</v>
      </c>
      <c r="L115" s="11">
        <v>90.203333333333333</v>
      </c>
      <c r="M115" s="14">
        <v>116.57807343707201</v>
      </c>
      <c r="N115" s="15">
        <f t="shared" si="20"/>
        <v>116.57807343707201</v>
      </c>
      <c r="T115" s="5"/>
      <c r="U115" s="5"/>
      <c r="V115" s="6"/>
      <c r="W115" s="3"/>
      <c r="X115" s="7"/>
      <c r="Y115" s="8"/>
    </row>
    <row r="116" spans="1:25">
      <c r="A116" s="2">
        <v>35977</v>
      </c>
      <c r="B116" s="10">
        <v>5527.2</v>
      </c>
      <c r="C116" s="10">
        <v>4755</v>
      </c>
      <c r="D116" s="16">
        <f t="shared" si="16"/>
        <v>-772.19999999999982</v>
      </c>
      <c r="E116" s="12">
        <v>9121.0969999999998</v>
      </c>
      <c r="F116" s="13">
        <f t="shared" si="15"/>
        <v>-8.4660869191501842E-2</v>
      </c>
      <c r="G116" s="16">
        <v>-224.6</v>
      </c>
      <c r="H116" s="16">
        <v>-1457.0000000000002</v>
      </c>
      <c r="I116" s="17">
        <f t="shared" si="17"/>
        <v>-0.15973955764312125</v>
      </c>
      <c r="J116" s="18">
        <f t="shared" si="18"/>
        <v>684.80000000000041</v>
      </c>
      <c r="K116" s="17">
        <f t="shared" si="19"/>
        <v>7.5078688451619413E-2</v>
      </c>
      <c r="L116" s="11">
        <v>92.57</v>
      </c>
      <c r="M116" s="14">
        <v>119.06803492964001</v>
      </c>
      <c r="N116" s="15">
        <f t="shared" si="20"/>
        <v>119.06803492964001</v>
      </c>
      <c r="T116" s="5"/>
      <c r="U116" s="5"/>
      <c r="V116" s="6"/>
      <c r="W116" s="3"/>
      <c r="X116" s="7"/>
      <c r="Y116" s="8"/>
    </row>
    <row r="117" spans="1:25">
      <c r="A117" s="2">
        <v>36069</v>
      </c>
      <c r="B117" s="10">
        <v>6271.6</v>
      </c>
      <c r="C117" s="10">
        <v>5324.9</v>
      </c>
      <c r="D117" s="16">
        <f t="shared" si="16"/>
        <v>-946.70000000000073</v>
      </c>
      <c r="E117" s="12">
        <v>9293.991</v>
      </c>
      <c r="F117" s="13">
        <f t="shared" si="15"/>
        <v>-0.10186151460658836</v>
      </c>
      <c r="G117" s="16">
        <v>-235.8</v>
      </c>
      <c r="H117" s="16">
        <v>-1515.9500000000003</v>
      </c>
      <c r="I117" s="17">
        <f t="shared" si="17"/>
        <v>-0.16311076694608379</v>
      </c>
      <c r="J117" s="18">
        <f t="shared" si="18"/>
        <v>569.24999999999955</v>
      </c>
      <c r="K117" s="17">
        <f t="shared" si="19"/>
        <v>6.1249252339495436E-2</v>
      </c>
      <c r="L117" s="11">
        <v>88.55</v>
      </c>
      <c r="M117" s="14">
        <v>114.693463426161</v>
      </c>
      <c r="N117" s="15">
        <f t="shared" si="20"/>
        <v>114.693463426161</v>
      </c>
      <c r="T117" s="5"/>
      <c r="U117" s="5"/>
      <c r="V117" s="6"/>
      <c r="W117" s="3"/>
      <c r="X117" s="7"/>
      <c r="Y117" s="8"/>
    </row>
    <row r="118" spans="1:25">
      <c r="A118" s="2">
        <v>36161</v>
      </c>
      <c r="B118" s="10">
        <v>6450.3</v>
      </c>
      <c r="C118" s="10">
        <v>5473.5</v>
      </c>
      <c r="D118" s="16">
        <f t="shared" si="16"/>
        <v>-976.80000000000018</v>
      </c>
      <c r="E118" s="12">
        <v>9411.6820000000007</v>
      </c>
      <c r="F118" s="13">
        <f t="shared" si="15"/>
        <v>-0.10378591201870188</v>
      </c>
      <c r="G118" s="16">
        <v>-234.2</v>
      </c>
      <c r="H118" s="16">
        <v>-1574.5000000000002</v>
      </c>
      <c r="I118" s="17">
        <f t="shared" si="17"/>
        <v>-0.16729209507928552</v>
      </c>
      <c r="J118" s="18">
        <f t="shared" si="18"/>
        <v>597.70000000000005</v>
      </c>
      <c r="K118" s="17">
        <f t="shared" si="19"/>
        <v>6.3506183060583643E-2</v>
      </c>
      <c r="L118" s="11">
        <v>88.350000000000009</v>
      </c>
      <c r="M118" s="14">
        <v>115.436014495531</v>
      </c>
      <c r="N118" s="15">
        <f t="shared" si="20"/>
        <v>115.436014495531</v>
      </c>
      <c r="T118" s="5"/>
      <c r="U118" s="5"/>
      <c r="V118" s="6"/>
      <c r="W118" s="3"/>
      <c r="X118" s="7"/>
      <c r="Y118" s="8"/>
    </row>
    <row r="119" spans="1:25">
      <c r="A119" s="2">
        <v>36251</v>
      </c>
      <c r="B119" s="10">
        <v>6727.7</v>
      </c>
      <c r="C119" s="10">
        <v>5669.8</v>
      </c>
      <c r="D119" s="16">
        <f t="shared" si="16"/>
        <v>-1057.8999999999996</v>
      </c>
      <c r="E119" s="12">
        <v>9526.2099999999991</v>
      </c>
      <c r="F119" s="13">
        <f t="shared" si="15"/>
        <v>-0.1110515094670388</v>
      </c>
      <c r="G119" s="16">
        <v>-262.2</v>
      </c>
      <c r="H119" s="16">
        <v>-1640.0500000000002</v>
      </c>
      <c r="I119" s="17">
        <f t="shared" si="17"/>
        <v>-0.17216185660404298</v>
      </c>
      <c r="J119" s="18">
        <f t="shared" si="18"/>
        <v>582.15000000000055</v>
      </c>
      <c r="K119" s="17">
        <f t="shared" si="19"/>
        <v>6.1110347137004181E-2</v>
      </c>
      <c r="L119" s="11">
        <v>89.063333333333333</v>
      </c>
      <c r="M119" s="14">
        <v>116.44705019678401</v>
      </c>
      <c r="N119" s="15">
        <f t="shared" si="20"/>
        <v>116.44705019678401</v>
      </c>
      <c r="T119" s="5"/>
      <c r="U119" s="5"/>
      <c r="V119" s="6"/>
      <c r="W119" s="3"/>
      <c r="X119" s="7"/>
      <c r="Y119" s="8"/>
    </row>
    <row r="120" spans="1:25">
      <c r="A120" s="2">
        <v>36342</v>
      </c>
      <c r="B120" s="10">
        <v>6788.6</v>
      </c>
      <c r="C120" s="10">
        <v>5814.5</v>
      </c>
      <c r="D120" s="16">
        <f t="shared" si="16"/>
        <v>-974.10000000000036</v>
      </c>
      <c r="E120" s="12">
        <v>9686.6260000000002</v>
      </c>
      <c r="F120" s="13">
        <f t="shared" si="15"/>
        <v>-0.10056133064288848</v>
      </c>
      <c r="G120" s="16">
        <v>-293.39999999999998</v>
      </c>
      <c r="H120" s="16">
        <v>-1713.4</v>
      </c>
      <c r="I120" s="17">
        <f t="shared" si="17"/>
        <v>-0.17688305504930199</v>
      </c>
      <c r="J120" s="18">
        <f t="shared" si="18"/>
        <v>739.29999999999973</v>
      </c>
      <c r="K120" s="17">
        <f t="shared" si="19"/>
        <v>7.6321724406413508E-2</v>
      </c>
      <c r="L120" s="11">
        <v>88.336666666666659</v>
      </c>
      <c r="M120" s="14">
        <v>115.76502183103101</v>
      </c>
      <c r="N120" s="15">
        <f t="shared" si="20"/>
        <v>115.76502183103101</v>
      </c>
      <c r="T120" s="5"/>
      <c r="U120" s="5"/>
      <c r="V120" s="6"/>
      <c r="W120" s="3"/>
      <c r="X120" s="7"/>
      <c r="Y120" s="8"/>
    </row>
    <row r="121" spans="1:25">
      <c r="A121" s="2">
        <v>36434</v>
      </c>
      <c r="B121" s="10">
        <v>7318.5</v>
      </c>
      <c r="C121" s="10">
        <v>6515.3</v>
      </c>
      <c r="D121" s="16">
        <f t="shared" si="16"/>
        <v>-803.19999999999982</v>
      </c>
      <c r="E121" s="12">
        <v>9900.1689999999999</v>
      </c>
      <c r="F121" s="13">
        <f t="shared" si="15"/>
        <v>-8.1129928186074382E-2</v>
      </c>
      <c r="G121" s="16">
        <v>-316.7</v>
      </c>
      <c r="H121" s="16">
        <v>-1792.575</v>
      </c>
      <c r="I121" s="17">
        <f t="shared" si="17"/>
        <v>-0.18106509090905418</v>
      </c>
      <c r="J121" s="18">
        <f t="shared" si="18"/>
        <v>989.37500000000023</v>
      </c>
      <c r="K121" s="17">
        <f t="shared" si="19"/>
        <v>9.9935162722979809E-2</v>
      </c>
      <c r="L121" s="11">
        <v>87.046666666666667</v>
      </c>
      <c r="M121" s="14">
        <v>114.620071389156</v>
      </c>
      <c r="N121" s="15">
        <f t="shared" si="20"/>
        <v>114.620071389156</v>
      </c>
      <c r="T121" s="5"/>
      <c r="U121" s="5"/>
      <c r="V121" s="6"/>
      <c r="W121" s="3"/>
      <c r="X121" s="7"/>
      <c r="Y121" s="8"/>
    </row>
    <row r="122" spans="1:25">
      <c r="A122" s="2">
        <v>36526</v>
      </c>
      <c r="B122" s="10">
        <v>7465.9</v>
      </c>
      <c r="C122" s="10">
        <v>6737.6</v>
      </c>
      <c r="D122" s="16">
        <f t="shared" si="16"/>
        <v>-728.29999999999927</v>
      </c>
      <c r="E122" s="12">
        <v>10002.179</v>
      </c>
      <c r="F122" s="13">
        <f t="shared" si="15"/>
        <v>-7.281413380024486E-2</v>
      </c>
      <c r="G122" s="16">
        <v>-370.5</v>
      </c>
      <c r="H122" s="16">
        <v>-1885.2</v>
      </c>
      <c r="I122" s="17">
        <f t="shared" si="17"/>
        <v>-0.1884789304410569</v>
      </c>
      <c r="J122" s="18">
        <f t="shared" si="18"/>
        <v>1156.9000000000008</v>
      </c>
      <c r="K122" s="17">
        <f t="shared" si="19"/>
        <v>0.11566479664081204</v>
      </c>
      <c r="L122" s="11">
        <v>88.336666666666659</v>
      </c>
      <c r="M122" s="14">
        <v>115.937542797361</v>
      </c>
      <c r="N122" s="15">
        <f t="shared" si="20"/>
        <v>115.937542797361</v>
      </c>
      <c r="T122" s="5"/>
      <c r="U122" s="5"/>
      <c r="V122" s="6"/>
      <c r="W122" s="3"/>
      <c r="X122" s="7"/>
      <c r="Y122" s="8"/>
    </row>
    <row r="123" spans="1:25">
      <c r="A123" s="2">
        <v>36617</v>
      </c>
      <c r="B123" s="10">
        <v>7666.8</v>
      </c>
      <c r="C123" s="10">
        <v>6753.5</v>
      </c>
      <c r="D123" s="16">
        <f t="shared" si="16"/>
        <v>-913.30000000000018</v>
      </c>
      <c r="E123" s="12">
        <v>10247.719999999999</v>
      </c>
      <c r="F123" s="13">
        <f t="shared" si="15"/>
        <v>-8.9122263293688761E-2</v>
      </c>
      <c r="G123" s="16">
        <v>-379.5</v>
      </c>
      <c r="H123" s="16">
        <v>-1980.075</v>
      </c>
      <c r="I123" s="17">
        <f t="shared" si="17"/>
        <v>-0.19322102867759855</v>
      </c>
      <c r="J123" s="18">
        <f t="shared" si="18"/>
        <v>1066.7749999999999</v>
      </c>
      <c r="K123" s="17">
        <f t="shared" si="19"/>
        <v>0.10409876538390977</v>
      </c>
      <c r="L123" s="11">
        <v>90.71</v>
      </c>
      <c r="M123" s="14">
        <v>118.78949753301799</v>
      </c>
      <c r="N123" s="15">
        <f t="shared" si="20"/>
        <v>118.78949753301799</v>
      </c>
      <c r="T123" s="5"/>
      <c r="U123" s="5"/>
      <c r="V123" s="6"/>
      <c r="W123" s="3"/>
      <c r="X123" s="7"/>
      <c r="Y123" s="8"/>
    </row>
    <row r="124" spans="1:25">
      <c r="A124" s="2">
        <v>36708</v>
      </c>
      <c r="B124" s="10">
        <v>7862.5</v>
      </c>
      <c r="C124" s="10">
        <v>6696.7</v>
      </c>
      <c r="D124" s="16">
        <f t="shared" si="16"/>
        <v>-1165.8000000000002</v>
      </c>
      <c r="E124" s="12">
        <v>10318.165000000001</v>
      </c>
      <c r="F124" s="13">
        <f t="shared" si="15"/>
        <v>-0.1129852061873405</v>
      </c>
      <c r="G124" s="16">
        <v>-416.8</v>
      </c>
      <c r="H124" s="16">
        <v>-2084.2750000000001</v>
      </c>
      <c r="I124" s="17">
        <f t="shared" si="17"/>
        <v>-0.20200054951631419</v>
      </c>
      <c r="J124" s="18">
        <f t="shared" si="18"/>
        <v>918.47499999999991</v>
      </c>
      <c r="K124" s="17">
        <f t="shared" si="19"/>
        <v>8.9015343328973692E-2</v>
      </c>
      <c r="L124" s="11">
        <v>91.663333333333341</v>
      </c>
      <c r="M124" s="14">
        <v>119.906513851875</v>
      </c>
      <c r="N124" s="15">
        <f t="shared" si="20"/>
        <v>119.906513851875</v>
      </c>
      <c r="T124" s="5"/>
      <c r="U124" s="5"/>
      <c r="V124" s="6"/>
      <c r="W124" s="3"/>
      <c r="X124" s="7"/>
      <c r="Y124" s="8"/>
    </row>
    <row r="125" spans="1:25">
      <c r="A125" s="2">
        <v>36800</v>
      </c>
      <c r="B125" s="10">
        <v>7621.5</v>
      </c>
      <c r="C125" s="10">
        <v>6421.6</v>
      </c>
      <c r="D125" s="16">
        <f t="shared" si="16"/>
        <v>-1199.8999999999996</v>
      </c>
      <c r="E125" s="12">
        <v>10435.744000000001</v>
      </c>
      <c r="F125" s="13">
        <f t="shared" si="15"/>
        <v>-0.11497982319228985</v>
      </c>
      <c r="G125" s="16">
        <v>-420.7</v>
      </c>
      <c r="H125" s="16">
        <v>-2189.4500000000003</v>
      </c>
      <c r="I125" s="17">
        <f t="shared" si="17"/>
        <v>-0.20980296182045097</v>
      </c>
      <c r="J125" s="18">
        <f t="shared" si="18"/>
        <v>989.55000000000064</v>
      </c>
      <c r="K125" s="17">
        <f t="shared" si="19"/>
        <v>9.4823138628161108E-2</v>
      </c>
      <c r="L125" s="11">
        <v>94.12</v>
      </c>
      <c r="M125" s="14">
        <v>123.231794613076</v>
      </c>
      <c r="N125" s="15">
        <f t="shared" si="20"/>
        <v>123.231794613076</v>
      </c>
      <c r="T125" s="5"/>
      <c r="U125" s="5"/>
      <c r="V125" s="6"/>
      <c r="W125" s="3"/>
      <c r="X125" s="7"/>
      <c r="Y125" s="8"/>
    </row>
    <row r="126" spans="1:25">
      <c r="A126" s="2">
        <v>36892</v>
      </c>
      <c r="B126" s="10">
        <v>7596.7</v>
      </c>
      <c r="C126" s="10">
        <v>6449.7</v>
      </c>
      <c r="D126" s="16">
        <f t="shared" si="16"/>
        <v>-1147</v>
      </c>
      <c r="E126" s="12">
        <v>10470.231</v>
      </c>
      <c r="F126" s="13">
        <f t="shared" si="15"/>
        <v>-0.10954868139967494</v>
      </c>
      <c r="G126" s="16">
        <v>-423.7</v>
      </c>
      <c r="H126" s="16">
        <v>-2295.3750000000005</v>
      </c>
      <c r="I126" s="17">
        <f t="shared" si="17"/>
        <v>-0.21922868750460239</v>
      </c>
      <c r="J126" s="18">
        <f t="shared" si="18"/>
        <v>1148.3750000000005</v>
      </c>
      <c r="K126" s="17">
        <f t="shared" si="19"/>
        <v>0.10968000610492744</v>
      </c>
      <c r="L126" s="11">
        <v>95.173333333333332</v>
      </c>
      <c r="M126" s="14">
        <v>124.41773910735201</v>
      </c>
      <c r="N126" s="15">
        <f t="shared" si="20"/>
        <v>124.41773910735201</v>
      </c>
      <c r="T126" s="5"/>
      <c r="U126" s="5"/>
      <c r="V126" s="6"/>
      <c r="W126" s="3"/>
      <c r="X126" s="7"/>
      <c r="Y126" s="8"/>
    </row>
    <row r="127" spans="1:25">
      <c r="A127" s="2">
        <v>36982</v>
      </c>
      <c r="B127" s="10">
        <v>7886.4</v>
      </c>
      <c r="C127" s="10">
        <v>6498.7</v>
      </c>
      <c r="D127" s="16">
        <f t="shared" si="16"/>
        <v>-1387.6999999999998</v>
      </c>
      <c r="E127" s="12">
        <v>10599</v>
      </c>
      <c r="F127" s="13">
        <f t="shared" si="15"/>
        <v>-0.13092744598547032</v>
      </c>
      <c r="G127" s="16">
        <v>-379.1</v>
      </c>
      <c r="H127" s="16">
        <v>-2390.1500000000005</v>
      </c>
      <c r="I127" s="17">
        <f t="shared" si="17"/>
        <v>-0.22550712331352019</v>
      </c>
      <c r="J127" s="18">
        <f t="shared" si="18"/>
        <v>1002.4500000000007</v>
      </c>
      <c r="K127" s="17">
        <f t="shared" si="19"/>
        <v>9.457967732804988E-2</v>
      </c>
      <c r="L127" s="11">
        <v>97.04</v>
      </c>
      <c r="M127" s="14">
        <v>126.974652837261</v>
      </c>
      <c r="N127" s="15">
        <f t="shared" si="20"/>
        <v>126.974652837261</v>
      </c>
      <c r="T127" s="5"/>
      <c r="U127" s="5"/>
      <c r="V127" s="6"/>
      <c r="W127" s="3"/>
      <c r="X127" s="7"/>
      <c r="Y127" s="8"/>
    </row>
    <row r="128" spans="1:25">
      <c r="A128" s="2">
        <v>37073</v>
      </c>
      <c r="B128" s="10">
        <v>7784.4</v>
      </c>
      <c r="C128" s="10">
        <v>6233.9</v>
      </c>
      <c r="D128" s="16">
        <f t="shared" si="16"/>
        <v>-1550.5</v>
      </c>
      <c r="E128" s="12">
        <v>10598.02</v>
      </c>
      <c r="F128" s="13">
        <f t="shared" si="15"/>
        <v>-0.14630091281201582</v>
      </c>
      <c r="G128" s="16">
        <v>-412.1</v>
      </c>
      <c r="H128" s="16">
        <v>-2493.1750000000006</v>
      </c>
      <c r="I128" s="17">
        <f t="shared" si="17"/>
        <v>-0.23524913144153348</v>
      </c>
      <c r="J128" s="18">
        <f t="shared" si="18"/>
        <v>942.67500000000064</v>
      </c>
      <c r="K128" s="17">
        <f t="shared" si="19"/>
        <v>8.8948218629517642E-2</v>
      </c>
      <c r="L128" s="11">
        <v>96.49666666666667</v>
      </c>
      <c r="M128" s="14">
        <v>126.41550017841099</v>
      </c>
      <c r="N128" s="15">
        <f t="shared" si="20"/>
        <v>126.41550017841099</v>
      </c>
      <c r="T128" s="5"/>
      <c r="U128" s="5"/>
      <c r="V128" s="6"/>
      <c r="W128" s="3"/>
      <c r="X128" s="7"/>
      <c r="Y128" s="8"/>
    </row>
    <row r="129" spans="1:29">
      <c r="A129" s="2">
        <v>37165</v>
      </c>
      <c r="B129" s="10">
        <v>7811.3</v>
      </c>
      <c r="C129" s="10">
        <v>5968</v>
      </c>
      <c r="D129" s="16">
        <f t="shared" si="16"/>
        <v>-1843.3000000000002</v>
      </c>
      <c r="E129" s="12">
        <v>10660.465</v>
      </c>
      <c r="F129" s="13">
        <f t="shared" si="15"/>
        <v>-0.17290990589997718</v>
      </c>
      <c r="G129" s="16">
        <v>-350.8</v>
      </c>
      <c r="H129" s="16">
        <v>-2580.8750000000005</v>
      </c>
      <c r="I129" s="17">
        <f t="shared" si="17"/>
        <v>-0.24209778841729704</v>
      </c>
      <c r="J129" s="18">
        <f t="shared" si="18"/>
        <v>737.57500000000027</v>
      </c>
      <c r="K129" s="17">
        <f t="shared" si="19"/>
        <v>6.918788251731986E-2</v>
      </c>
      <c r="L129" s="11">
        <v>96.786666666666676</v>
      </c>
      <c r="M129" s="14">
        <v>127.110715297279</v>
      </c>
      <c r="N129" s="15">
        <f t="shared" si="20"/>
        <v>127.110715297279</v>
      </c>
      <c r="T129" s="5"/>
      <c r="U129" s="5"/>
      <c r="V129" s="6"/>
      <c r="W129" s="3"/>
      <c r="X129" s="7"/>
      <c r="Y129" s="8"/>
    </row>
    <row r="130" spans="1:29">
      <c r="A130" s="2">
        <v>37257</v>
      </c>
      <c r="B130" s="10">
        <v>7908.8</v>
      </c>
      <c r="C130" s="10">
        <v>6004.2</v>
      </c>
      <c r="D130" s="16">
        <f t="shared" si="16"/>
        <v>-1904.6000000000004</v>
      </c>
      <c r="E130" s="12">
        <v>10783.5</v>
      </c>
      <c r="F130" s="13">
        <f t="shared" si="15"/>
        <v>-0.1766216905457412</v>
      </c>
      <c r="G130" s="16">
        <v>-404.4</v>
      </c>
      <c r="H130" s="16">
        <v>-2681.9750000000004</v>
      </c>
      <c r="I130" s="17">
        <f t="shared" ref="I130:I161" si="21">H130/E130</f>
        <v>-0.24871099364770255</v>
      </c>
      <c r="J130" s="18">
        <f t="shared" ref="J130:J161" si="22">D130-H130</f>
        <v>777.375</v>
      </c>
      <c r="K130" s="17">
        <f t="shared" ref="K130:K161" si="23">J130/E130</f>
        <v>7.2089303101961336E-2</v>
      </c>
      <c r="L130" s="11">
        <v>98.546666666666667</v>
      </c>
      <c r="M130" s="14">
        <v>128.71077996117401</v>
      </c>
      <c r="N130" s="15">
        <f t="shared" si="20"/>
        <v>128.71077996117401</v>
      </c>
      <c r="T130" s="5"/>
      <c r="U130" s="5"/>
      <c r="V130" s="6"/>
      <c r="W130" s="3"/>
      <c r="X130" s="7"/>
      <c r="Y130" s="8"/>
    </row>
    <row r="131" spans="1:29">
      <c r="A131" s="2">
        <v>37347</v>
      </c>
      <c r="B131" s="10">
        <v>7878.6</v>
      </c>
      <c r="C131" s="10">
        <v>6036.5</v>
      </c>
      <c r="D131" s="16">
        <f t="shared" si="16"/>
        <v>-1842.1000000000004</v>
      </c>
      <c r="E131" s="12">
        <v>10887.46</v>
      </c>
      <c r="F131" s="13">
        <f t="shared" si="15"/>
        <v>-0.16919465146140611</v>
      </c>
      <c r="G131" s="16">
        <v>-456.4</v>
      </c>
      <c r="H131" s="16">
        <v>-2796.0750000000003</v>
      </c>
      <c r="I131" s="17">
        <f t="shared" si="21"/>
        <v>-0.25681609852068349</v>
      </c>
      <c r="J131" s="18">
        <f t="shared" si="22"/>
        <v>953.97499999999991</v>
      </c>
      <c r="K131" s="17">
        <f t="shared" si="23"/>
        <v>8.7621447059277366E-2</v>
      </c>
      <c r="L131" s="11">
        <v>96.196666666666673</v>
      </c>
      <c r="M131" s="14">
        <v>126.328996579907</v>
      </c>
      <c r="N131" s="15">
        <f t="shared" si="20"/>
        <v>126.328996579907</v>
      </c>
      <c r="T131" s="5"/>
      <c r="U131" s="5"/>
      <c r="V131" s="6"/>
      <c r="W131" s="3"/>
      <c r="X131" s="7"/>
      <c r="Y131" s="8"/>
    </row>
    <row r="132" spans="1:29">
      <c r="A132" s="2">
        <v>37438</v>
      </c>
      <c r="B132" s="10">
        <v>7917.5</v>
      </c>
      <c r="C132" s="10">
        <v>5827.8</v>
      </c>
      <c r="D132" s="16">
        <f t="shared" si="16"/>
        <v>-2089.6999999999998</v>
      </c>
      <c r="E132" s="12">
        <v>10984.04</v>
      </c>
      <c r="F132" s="13">
        <f t="shared" si="15"/>
        <v>-0.19024876092949403</v>
      </c>
      <c r="G132" s="16">
        <v>-461.7</v>
      </c>
      <c r="H132" s="16">
        <v>-2911.5000000000005</v>
      </c>
      <c r="I132" s="17">
        <f t="shared" si="21"/>
        <v>-0.26506640543916449</v>
      </c>
      <c r="J132" s="18">
        <f t="shared" si="22"/>
        <v>821.80000000000064</v>
      </c>
      <c r="K132" s="17">
        <f t="shared" si="23"/>
        <v>7.4817644509670447E-2</v>
      </c>
      <c r="L132" s="11">
        <v>93.546666666666667</v>
      </c>
      <c r="M132" s="14">
        <v>123.64482936812399</v>
      </c>
      <c r="N132" s="15">
        <f t="shared" si="20"/>
        <v>123.64482936812399</v>
      </c>
      <c r="T132" s="5"/>
      <c r="U132" s="5"/>
      <c r="V132" s="6"/>
      <c r="W132" s="3"/>
      <c r="X132" s="7"/>
      <c r="Y132" s="8"/>
    </row>
    <row r="133" spans="1:29">
      <c r="A133" s="2">
        <v>37530</v>
      </c>
      <c r="B133" s="10">
        <v>7649.5</v>
      </c>
      <c r="C133" s="10">
        <v>5709.3</v>
      </c>
      <c r="D133" s="16">
        <f t="shared" si="16"/>
        <v>-1940.1999999999998</v>
      </c>
      <c r="E133" s="12">
        <v>11061.433000000001</v>
      </c>
      <c r="F133" s="13">
        <f t="shared" si="15"/>
        <v>-0.17540222862625482</v>
      </c>
      <c r="G133" s="16">
        <v>-499.2</v>
      </c>
      <c r="H133" s="16">
        <v>-3036.3000000000006</v>
      </c>
      <c r="I133" s="17">
        <f t="shared" si="21"/>
        <v>-0.27449427212550132</v>
      </c>
      <c r="J133" s="18">
        <f t="shared" si="22"/>
        <v>1096.1000000000008</v>
      </c>
      <c r="K133" s="17">
        <f t="shared" si="23"/>
        <v>9.9092043499246496E-2</v>
      </c>
      <c r="L133" s="11">
        <v>93.806666666666658</v>
      </c>
      <c r="M133" s="14">
        <v>125.003317434984</v>
      </c>
      <c r="N133" s="15">
        <f t="shared" si="20"/>
        <v>125.003317434984</v>
      </c>
      <c r="T133" s="5"/>
      <c r="U133" s="5"/>
      <c r="V133" s="6"/>
      <c r="W133" s="3"/>
      <c r="X133" s="7"/>
      <c r="Y133" s="8"/>
    </row>
    <row r="134" spans="1:29">
      <c r="A134" s="2">
        <v>37622</v>
      </c>
      <c r="B134" s="10">
        <v>7801.1</v>
      </c>
      <c r="C134" s="10">
        <v>5694.1</v>
      </c>
      <c r="D134" s="16">
        <f t="shared" si="16"/>
        <v>-2107</v>
      </c>
      <c r="E134" s="12">
        <v>11174.129000000001</v>
      </c>
      <c r="F134" s="13">
        <f t="shared" si="15"/>
        <v>-0.1885605580533391</v>
      </c>
      <c r="G134" s="16">
        <v>-546.4</v>
      </c>
      <c r="H134" s="16">
        <v>-3172.9000000000005</v>
      </c>
      <c r="I134" s="17">
        <f t="shared" si="21"/>
        <v>-0.28395054325934488</v>
      </c>
      <c r="J134" s="18">
        <f t="shared" si="22"/>
        <v>1065.9000000000005</v>
      </c>
      <c r="K134" s="17">
        <f t="shared" si="23"/>
        <v>9.5389985206005806E-2</v>
      </c>
      <c r="L134" s="11">
        <v>91.646666666666661</v>
      </c>
      <c r="M134" s="14">
        <v>122.24571246747399</v>
      </c>
      <c r="N134" s="15">
        <f t="shared" si="20"/>
        <v>122.24571246747399</v>
      </c>
      <c r="T134" s="5"/>
      <c r="U134" s="5"/>
      <c r="V134" s="6"/>
      <c r="W134" s="3"/>
      <c r="X134" s="7"/>
      <c r="Y134" s="8"/>
    </row>
    <row r="135" spans="1:29">
      <c r="A135" s="2">
        <v>37712</v>
      </c>
      <c r="B135" s="10">
        <v>8207.7999999999993</v>
      </c>
      <c r="C135" s="10">
        <v>6126.3</v>
      </c>
      <c r="D135" s="16">
        <f t="shared" si="16"/>
        <v>-2081.4999999999991</v>
      </c>
      <c r="E135" s="12">
        <v>11312.766</v>
      </c>
      <c r="F135" s="13">
        <f t="shared" si="15"/>
        <v>-0.18399567356029456</v>
      </c>
      <c r="G135" s="16">
        <v>-526</v>
      </c>
      <c r="H135" s="16">
        <v>-3304.4000000000005</v>
      </c>
      <c r="I135" s="17">
        <f t="shared" si="21"/>
        <v>-0.29209478919655907</v>
      </c>
      <c r="J135" s="18">
        <f t="shared" si="22"/>
        <v>1222.9000000000015</v>
      </c>
      <c r="K135" s="17">
        <f t="shared" si="23"/>
        <v>0.10809911563626451</v>
      </c>
      <c r="L135" s="11">
        <v>88.176666666666677</v>
      </c>
      <c r="M135" s="14">
        <v>117.675414433269</v>
      </c>
      <c r="N135" s="15">
        <f t="shared" si="20"/>
        <v>117.675414433269</v>
      </c>
      <c r="T135" s="5"/>
      <c r="U135" s="5"/>
      <c r="V135" s="6"/>
      <c r="W135" s="3"/>
      <c r="X135" s="7"/>
      <c r="Y135" s="8"/>
    </row>
    <row r="136" spans="1:29">
      <c r="A136" s="2">
        <v>37803</v>
      </c>
      <c r="B136" s="10">
        <v>8421.1</v>
      </c>
      <c r="C136" s="10">
        <v>6307.5</v>
      </c>
      <c r="D136" s="16">
        <f t="shared" si="16"/>
        <v>-2113.6000000000004</v>
      </c>
      <c r="E136" s="12">
        <v>11566.669</v>
      </c>
      <c r="F136" s="13">
        <f t="shared" si="15"/>
        <v>-0.18273195161026917</v>
      </c>
      <c r="G136" s="16">
        <v>-526.70000000000005</v>
      </c>
      <c r="H136" s="16">
        <v>-3436.0750000000007</v>
      </c>
      <c r="I136" s="17">
        <f t="shared" si="21"/>
        <v>-0.29706694295479541</v>
      </c>
      <c r="J136" s="18">
        <f t="shared" si="22"/>
        <v>1322.4750000000004</v>
      </c>
      <c r="K136" s="17">
        <f t="shared" si="23"/>
        <v>0.11433499134452628</v>
      </c>
      <c r="L136" s="11">
        <v>88.566666666666663</v>
      </c>
      <c r="M136" s="14">
        <v>117.95068328148599</v>
      </c>
      <c r="N136" s="15">
        <f t="shared" si="20"/>
        <v>117.95068328148599</v>
      </c>
      <c r="T136" s="5"/>
      <c r="U136" s="5"/>
      <c r="V136" s="6"/>
      <c r="W136" s="3"/>
      <c r="X136" s="7"/>
      <c r="Y136" s="8"/>
    </row>
    <row r="137" spans="1:29">
      <c r="A137" s="2">
        <v>37895</v>
      </c>
      <c r="B137" s="10">
        <v>9232</v>
      </c>
      <c r="C137" s="10">
        <v>7477.1</v>
      </c>
      <c r="D137" s="16">
        <f t="shared" si="16"/>
        <v>-1754.8999999999996</v>
      </c>
      <c r="E137" s="12">
        <v>11772.234</v>
      </c>
      <c r="F137" s="13">
        <f t="shared" si="15"/>
        <v>-0.14907111088685457</v>
      </c>
      <c r="G137" s="16">
        <v>-511.5</v>
      </c>
      <c r="H137" s="16">
        <v>-3563.9500000000007</v>
      </c>
      <c r="I137" s="17">
        <f t="shared" si="21"/>
        <v>-0.302742028403445</v>
      </c>
      <c r="J137" s="18">
        <f t="shared" si="22"/>
        <v>1809.0500000000011</v>
      </c>
      <c r="K137" s="17">
        <f t="shared" si="23"/>
        <v>0.1536709175165904</v>
      </c>
      <c r="L137" s="11">
        <v>84.993333333333339</v>
      </c>
      <c r="M137" s="14">
        <v>114.121599303984</v>
      </c>
      <c r="N137" s="15">
        <f t="shared" si="20"/>
        <v>114.121599303984</v>
      </c>
      <c r="T137" s="5"/>
      <c r="U137" s="5"/>
      <c r="V137" s="6"/>
      <c r="W137" s="3"/>
      <c r="X137" s="7"/>
      <c r="Y137" s="8"/>
    </row>
    <row r="138" spans="1:29">
      <c r="A138" s="2">
        <v>37987</v>
      </c>
      <c r="B138" s="10">
        <v>9490.9</v>
      </c>
      <c r="C138" s="10">
        <v>7718.2</v>
      </c>
      <c r="D138" s="16">
        <f t="shared" si="16"/>
        <v>-1772.6999999999998</v>
      </c>
      <c r="E138" s="12">
        <v>11923.447</v>
      </c>
      <c r="F138" s="13">
        <f t="shared" si="15"/>
        <v>-0.14867344988408132</v>
      </c>
      <c r="G138" s="16">
        <v>-548.9</v>
      </c>
      <c r="H138" s="16">
        <v>-3701.1750000000006</v>
      </c>
      <c r="I138" s="17">
        <f t="shared" si="21"/>
        <v>-0.31041149426000725</v>
      </c>
      <c r="J138" s="18">
        <f t="shared" si="22"/>
        <v>1928.4750000000008</v>
      </c>
      <c r="K138" s="17">
        <f t="shared" si="23"/>
        <v>0.16173804437592593</v>
      </c>
      <c r="L138" s="11">
        <v>83.173333333333332</v>
      </c>
      <c r="M138" s="14">
        <v>111.79564735777601</v>
      </c>
      <c r="N138" s="15">
        <f t="shared" si="20"/>
        <v>111.79564735777601</v>
      </c>
      <c r="T138" s="5"/>
      <c r="U138" s="5"/>
      <c r="V138" s="6"/>
      <c r="W138" s="3"/>
      <c r="X138" s="7"/>
      <c r="Y138" s="8"/>
      <c r="AC138" s="2"/>
    </row>
    <row r="139" spans="1:29">
      <c r="A139" s="2">
        <v>38078</v>
      </c>
      <c r="B139" s="10">
        <v>9862.5</v>
      </c>
      <c r="C139" s="10">
        <v>7879.9</v>
      </c>
      <c r="D139" s="16">
        <f t="shared" si="16"/>
        <v>-1982.6000000000004</v>
      </c>
      <c r="E139" s="12">
        <v>12112.815000000001</v>
      </c>
      <c r="F139" s="13">
        <f t="shared" si="15"/>
        <v>-0.16367788990420479</v>
      </c>
      <c r="G139" s="16">
        <v>-624.5</v>
      </c>
      <c r="H139" s="16">
        <v>-3857.3000000000006</v>
      </c>
      <c r="I139" s="17">
        <f t="shared" si="21"/>
        <v>-0.31844785873473674</v>
      </c>
      <c r="J139" s="18">
        <f t="shared" si="22"/>
        <v>1874.7000000000003</v>
      </c>
      <c r="K139" s="17">
        <f t="shared" si="23"/>
        <v>0.15476996883053198</v>
      </c>
      <c r="L139" s="11">
        <v>86.023333333333326</v>
      </c>
      <c r="M139" s="14">
        <v>114.599936613121</v>
      </c>
      <c r="N139" s="15">
        <f t="shared" si="20"/>
        <v>114.599936613121</v>
      </c>
      <c r="AC139" s="2"/>
    </row>
    <row r="140" spans="1:29">
      <c r="A140" s="2">
        <v>38169</v>
      </c>
      <c r="B140" s="10">
        <v>10076.9</v>
      </c>
      <c r="C140" s="10">
        <v>8088.8</v>
      </c>
      <c r="D140" s="16">
        <f t="shared" si="16"/>
        <v>-1988.0999999999995</v>
      </c>
      <c r="E140" s="12">
        <v>12305.307000000001</v>
      </c>
      <c r="F140" s="13">
        <f t="shared" si="15"/>
        <v>-0.16156443719770661</v>
      </c>
      <c r="G140" s="16">
        <v>-649.29999999999995</v>
      </c>
      <c r="H140" s="16">
        <v>-4019.6250000000005</v>
      </c>
      <c r="I140" s="17">
        <f t="shared" si="21"/>
        <v>-0.32665783958092232</v>
      </c>
      <c r="J140" s="18">
        <f t="shared" si="22"/>
        <v>2031.525000000001</v>
      </c>
      <c r="K140" s="17">
        <f t="shared" si="23"/>
        <v>0.16509340238321571</v>
      </c>
      <c r="L140" s="11">
        <v>85.103333333333339</v>
      </c>
      <c r="M140" s="14">
        <v>113.376951997961</v>
      </c>
      <c r="N140" s="15">
        <f t="shared" si="20"/>
        <v>113.376951997961</v>
      </c>
      <c r="AC140" s="2"/>
    </row>
    <row r="141" spans="1:29">
      <c r="A141" s="2">
        <v>38261</v>
      </c>
      <c r="B141" s="10">
        <v>10753.7</v>
      </c>
      <c r="C141" s="10">
        <v>9056.2999999999993</v>
      </c>
      <c r="D141" s="16">
        <f t="shared" si="16"/>
        <v>-1697.4000000000015</v>
      </c>
      <c r="E141" s="12">
        <v>12527.214</v>
      </c>
      <c r="F141" s="13">
        <f t="shared" si="15"/>
        <v>-0.13549700675665008</v>
      </c>
      <c r="G141" s="16">
        <v>-728.3</v>
      </c>
      <c r="H141" s="16">
        <v>-4201.7000000000007</v>
      </c>
      <c r="I141" s="17">
        <f t="shared" si="21"/>
        <v>-0.3354057813652741</v>
      </c>
      <c r="J141" s="18">
        <f t="shared" si="22"/>
        <v>2504.2999999999993</v>
      </c>
      <c r="K141" s="17">
        <f t="shared" si="23"/>
        <v>0.19990877460862402</v>
      </c>
      <c r="L141" s="11">
        <v>81.14</v>
      </c>
      <c r="M141" s="14">
        <v>109.83481533003599</v>
      </c>
      <c r="N141" s="15">
        <f t="shared" si="20"/>
        <v>109.83481533003599</v>
      </c>
      <c r="AC141" s="2"/>
    </row>
    <row r="142" spans="1:29">
      <c r="A142" s="2">
        <v>38353</v>
      </c>
      <c r="B142" s="10">
        <v>10982.1</v>
      </c>
      <c r="C142" s="10">
        <v>9324</v>
      </c>
      <c r="D142" s="16">
        <f t="shared" si="16"/>
        <v>-1658.1000000000004</v>
      </c>
      <c r="E142" s="12">
        <v>12767.286</v>
      </c>
      <c r="F142" s="13">
        <f t="shared" si="15"/>
        <v>-0.12987098432666117</v>
      </c>
      <c r="G142" s="16">
        <v>-688.7</v>
      </c>
      <c r="H142" s="16">
        <v>-4373.8750000000009</v>
      </c>
      <c r="I142" s="17">
        <f t="shared" si="21"/>
        <v>-0.34258455555863643</v>
      </c>
      <c r="J142" s="18">
        <f t="shared" si="22"/>
        <v>2715.7750000000005</v>
      </c>
      <c r="K142" s="17">
        <f t="shared" si="23"/>
        <v>0.21271357123197526</v>
      </c>
      <c r="L142" s="11">
        <v>80.52</v>
      </c>
      <c r="M142" s="14">
        <v>108.680161103592</v>
      </c>
      <c r="N142" s="15">
        <f t="shared" si="20"/>
        <v>108.680161103592</v>
      </c>
      <c r="AC142" s="2"/>
    </row>
    <row r="143" spans="1:29">
      <c r="A143" s="2">
        <v>38443</v>
      </c>
      <c r="B143" s="10">
        <v>11232.2</v>
      </c>
      <c r="C143" s="10">
        <v>9463.2000000000007</v>
      </c>
      <c r="D143" s="16">
        <f t="shared" si="16"/>
        <v>-1769</v>
      </c>
      <c r="E143" s="12">
        <v>12922.656000000001</v>
      </c>
      <c r="F143" s="13">
        <f t="shared" si="15"/>
        <v>-0.13689136350917333</v>
      </c>
      <c r="G143" s="16">
        <v>-722.2</v>
      </c>
      <c r="H143" s="16">
        <v>-4554.4250000000011</v>
      </c>
      <c r="I143" s="17">
        <f t="shared" si="21"/>
        <v>-0.35243722343146799</v>
      </c>
      <c r="J143" s="18">
        <f t="shared" si="22"/>
        <v>2785.4250000000011</v>
      </c>
      <c r="K143" s="17">
        <f t="shared" si="23"/>
        <v>0.21554585992229469</v>
      </c>
      <c r="L143" s="11">
        <v>82.34</v>
      </c>
      <c r="M143" s="14">
        <v>110.229130613151</v>
      </c>
      <c r="N143" s="15">
        <f t="shared" si="20"/>
        <v>110.229130613151</v>
      </c>
      <c r="AC143" s="2"/>
    </row>
    <row r="144" spans="1:29">
      <c r="A144" s="2">
        <v>38534</v>
      </c>
      <c r="B144" s="10">
        <v>11608.1</v>
      </c>
      <c r="C144" s="10">
        <v>9874.2000000000007</v>
      </c>
      <c r="D144" s="16">
        <f t="shared" si="16"/>
        <v>-1733.8999999999996</v>
      </c>
      <c r="E144" s="12">
        <v>13142.642</v>
      </c>
      <c r="F144" s="13">
        <f t="shared" si="15"/>
        <v>-0.1319293335388729</v>
      </c>
      <c r="G144" s="16">
        <v>-754.7</v>
      </c>
      <c r="H144" s="16">
        <v>-4743.1000000000013</v>
      </c>
      <c r="I144" s="17">
        <f t="shared" si="21"/>
        <v>-0.36089395115533096</v>
      </c>
      <c r="J144" s="18">
        <f t="shared" si="22"/>
        <v>3009.2000000000016</v>
      </c>
      <c r="K144" s="17">
        <f t="shared" si="23"/>
        <v>0.22896461761645806</v>
      </c>
      <c r="L144" s="11">
        <v>83.623333333333335</v>
      </c>
      <c r="M144" s="14">
        <v>111.38380486253899</v>
      </c>
      <c r="N144" s="15">
        <f t="shared" si="20"/>
        <v>111.38380486253899</v>
      </c>
      <c r="AC144" s="2"/>
    </row>
    <row r="145" spans="1:29">
      <c r="A145" s="2">
        <v>38626</v>
      </c>
      <c r="B145" s="10">
        <v>11710</v>
      </c>
      <c r="C145" s="10">
        <v>10194.299999999999</v>
      </c>
      <c r="D145" s="16">
        <f t="shared" si="16"/>
        <v>-1515.7000000000007</v>
      </c>
      <c r="E145" s="12">
        <v>13324.204</v>
      </c>
      <c r="F145" s="13">
        <f t="shared" si="15"/>
        <v>-0.11375538831437891</v>
      </c>
      <c r="G145" s="16">
        <v>-839.1</v>
      </c>
      <c r="H145" s="16">
        <v>-4952.8750000000009</v>
      </c>
      <c r="I145" s="17">
        <f t="shared" si="21"/>
        <v>-0.3717201417810776</v>
      </c>
      <c r="J145" s="18">
        <f t="shared" si="22"/>
        <v>3437.1750000000002</v>
      </c>
      <c r="K145" s="17">
        <f t="shared" si="23"/>
        <v>0.25796475346669867</v>
      </c>
      <c r="L145" s="11">
        <v>84.823333333333338</v>
      </c>
      <c r="M145" s="14">
        <v>113.069569183117</v>
      </c>
      <c r="N145" s="15">
        <f t="shared" si="20"/>
        <v>113.069569183117</v>
      </c>
      <c r="AC145" s="2"/>
    </row>
    <row r="146" spans="1:29">
      <c r="A146" s="2">
        <v>38718</v>
      </c>
      <c r="B146" s="10">
        <v>12390.6</v>
      </c>
      <c r="C146" s="10">
        <v>11110.5</v>
      </c>
      <c r="D146" s="16">
        <f t="shared" si="16"/>
        <v>-1280.1000000000004</v>
      </c>
      <c r="E146" s="12">
        <v>13599.16</v>
      </c>
      <c r="F146" s="13">
        <f t="shared" si="15"/>
        <v>-9.4130813962038859E-2</v>
      </c>
      <c r="G146" s="16">
        <v>-801.8</v>
      </c>
      <c r="H146" s="16">
        <v>-5153.3250000000007</v>
      </c>
      <c r="I146" s="17">
        <f t="shared" si="21"/>
        <v>-0.37894436126937259</v>
      </c>
      <c r="J146" s="18">
        <f t="shared" si="22"/>
        <v>3873.2250000000004</v>
      </c>
      <c r="K146" s="17">
        <f t="shared" si="23"/>
        <v>0.28481354730733371</v>
      </c>
      <c r="L146" s="11">
        <v>83.8</v>
      </c>
      <c r="M146" s="14">
        <v>111.51380774903301</v>
      </c>
      <c r="N146" s="15">
        <f t="shared" si="20"/>
        <v>111.51380774903301</v>
      </c>
      <c r="Z146" s="4"/>
      <c r="AA146" s="8"/>
      <c r="AC146" s="2"/>
    </row>
    <row r="147" spans="1:29">
      <c r="A147" s="2">
        <v>38808</v>
      </c>
      <c r="B147" s="10">
        <v>12602.4</v>
      </c>
      <c r="C147" s="10">
        <v>11285.3</v>
      </c>
      <c r="D147" s="16">
        <f t="shared" si="16"/>
        <v>-1317.1000000000004</v>
      </c>
      <c r="E147" s="12">
        <v>13753.424000000001</v>
      </c>
      <c r="F147" s="13">
        <f t="shared" si="15"/>
        <v>-9.5765243622242743E-2</v>
      </c>
      <c r="G147" s="16">
        <v>-828.8</v>
      </c>
      <c r="H147" s="16">
        <v>-5360.5250000000005</v>
      </c>
      <c r="I147" s="17">
        <f t="shared" si="21"/>
        <v>-0.38975930648251667</v>
      </c>
      <c r="J147" s="18">
        <f t="shared" si="22"/>
        <v>4043.4250000000002</v>
      </c>
      <c r="K147" s="17">
        <f t="shared" si="23"/>
        <v>0.29399406286027391</v>
      </c>
      <c r="L147" s="11">
        <v>82.923333333333332</v>
      </c>
      <c r="M147" s="14">
        <v>110.09951925416</v>
      </c>
      <c r="N147" s="15">
        <f t="shared" si="20"/>
        <v>110.09951925416</v>
      </c>
      <c r="Z147" s="4"/>
      <c r="AA147" s="8"/>
      <c r="AC147" s="2"/>
    </row>
    <row r="148" spans="1:29">
      <c r="A148" s="2">
        <v>38899</v>
      </c>
      <c r="B148" s="10">
        <v>13380.9</v>
      </c>
      <c r="C148" s="10">
        <v>11802.8</v>
      </c>
      <c r="D148" s="16">
        <f t="shared" si="16"/>
        <v>-1578.1000000000004</v>
      </c>
      <c r="E148" s="12">
        <v>13870.188</v>
      </c>
      <c r="F148" s="13">
        <f t="shared" si="15"/>
        <v>-0.11377639582102278</v>
      </c>
      <c r="G148" s="16">
        <v>-875.8</v>
      </c>
      <c r="H148" s="16">
        <v>-5579.4750000000004</v>
      </c>
      <c r="I148" s="17">
        <f t="shared" si="21"/>
        <v>-0.40226383377067421</v>
      </c>
      <c r="J148" s="18">
        <f t="shared" si="22"/>
        <v>4001.375</v>
      </c>
      <c r="K148" s="17">
        <f t="shared" si="23"/>
        <v>0.28848743794965143</v>
      </c>
      <c r="L148" s="11">
        <v>82.61999999999999</v>
      </c>
      <c r="M148" s="14">
        <v>109.680987277216</v>
      </c>
      <c r="N148" s="15">
        <f t="shared" si="20"/>
        <v>109.680987277216</v>
      </c>
      <c r="Z148" s="4"/>
      <c r="AA148" s="8"/>
    </row>
    <row r="149" spans="1:29">
      <c r="A149" s="2">
        <v>38991</v>
      </c>
      <c r="B149" s="10">
        <v>14084.4</v>
      </c>
      <c r="C149" s="10">
        <v>12724.7</v>
      </c>
      <c r="D149" s="16">
        <f t="shared" si="16"/>
        <v>-1359.6999999999989</v>
      </c>
      <c r="E149" s="12">
        <v>14039.56</v>
      </c>
      <c r="F149" s="13">
        <f t="shared" si="15"/>
        <v>-9.6847764459854796E-2</v>
      </c>
      <c r="G149" s="16">
        <v>-770.9</v>
      </c>
      <c r="H149" s="16">
        <v>-5772.2000000000007</v>
      </c>
      <c r="I149" s="17">
        <f t="shared" si="21"/>
        <v>-0.41113824079956929</v>
      </c>
      <c r="J149" s="18">
        <f t="shared" si="22"/>
        <v>4412.5000000000018</v>
      </c>
      <c r="K149" s="17">
        <f t="shared" si="23"/>
        <v>0.31429047633971446</v>
      </c>
      <c r="L149" s="11">
        <v>81.546666666666667</v>
      </c>
      <c r="M149" s="14">
        <v>108.410804908874</v>
      </c>
      <c r="N149" s="15">
        <f t="shared" si="20"/>
        <v>108.410804908874</v>
      </c>
      <c r="Z149" s="4"/>
      <c r="AA149" s="8"/>
    </row>
    <row r="150" spans="1:29">
      <c r="A150" s="2">
        <v>39083</v>
      </c>
      <c r="B150" s="10">
        <v>14626</v>
      </c>
      <c r="C150" s="10">
        <v>13343.9</v>
      </c>
      <c r="D150" s="16">
        <f t="shared" si="16"/>
        <v>-1282.1000000000004</v>
      </c>
      <c r="E150" s="12">
        <v>14215.651</v>
      </c>
      <c r="F150" s="13">
        <f t="shared" si="15"/>
        <v>-9.0189327242206518E-2</v>
      </c>
      <c r="G150" s="16">
        <v>-805.5</v>
      </c>
      <c r="H150" s="16">
        <v>-5973.5750000000007</v>
      </c>
      <c r="I150" s="17">
        <f t="shared" si="21"/>
        <v>-0.42021114615151994</v>
      </c>
      <c r="J150" s="18">
        <f t="shared" si="22"/>
        <v>4691.4750000000004</v>
      </c>
      <c r="K150" s="17">
        <f t="shared" si="23"/>
        <v>0.33002181890931342</v>
      </c>
      <c r="L150" s="11">
        <v>82.396666666666661</v>
      </c>
      <c r="M150" s="14">
        <v>108.61518989538899</v>
      </c>
      <c r="N150" s="15">
        <f t="shared" si="20"/>
        <v>108.61518989538899</v>
      </c>
      <c r="Z150" s="4"/>
      <c r="AA150" s="8"/>
    </row>
    <row r="151" spans="1:29">
      <c r="A151" s="2">
        <v>39173</v>
      </c>
      <c r="B151" s="10">
        <v>15460.6</v>
      </c>
      <c r="C151" s="10">
        <v>14444</v>
      </c>
      <c r="D151" s="16">
        <f t="shared" si="16"/>
        <v>-1016.6000000000004</v>
      </c>
      <c r="E151" s="12">
        <v>14402.082</v>
      </c>
      <c r="F151" s="13">
        <f t="shared" si="15"/>
        <v>-7.0587016516084289E-2</v>
      </c>
      <c r="G151" s="16">
        <v>-778.7</v>
      </c>
      <c r="H151" s="16">
        <v>-6168.2500000000009</v>
      </c>
      <c r="I151" s="17">
        <f t="shared" si="21"/>
        <v>-0.42828877102630025</v>
      </c>
      <c r="J151" s="18">
        <f t="shared" si="22"/>
        <v>5151.6500000000005</v>
      </c>
      <c r="K151" s="17">
        <f t="shared" si="23"/>
        <v>0.35770175451021596</v>
      </c>
      <c r="L151" s="11">
        <v>81.159999999999982</v>
      </c>
      <c r="M151" s="14">
        <v>106.402300392063</v>
      </c>
      <c r="N151" s="15">
        <f t="shared" si="20"/>
        <v>106.402300392063</v>
      </c>
      <c r="Z151" s="4"/>
      <c r="AA151" s="8"/>
    </row>
    <row r="152" spans="1:29">
      <c r="A152" s="2">
        <v>39264</v>
      </c>
      <c r="B152" s="10">
        <v>15835.1</v>
      </c>
      <c r="C152" s="10">
        <v>15182.4</v>
      </c>
      <c r="D152" s="16">
        <f t="shared" si="16"/>
        <v>-652.70000000000073</v>
      </c>
      <c r="E152" s="12">
        <v>14564.117</v>
      </c>
      <c r="F152" s="13">
        <f t="shared" si="15"/>
        <v>-4.4815624592963704E-2</v>
      </c>
      <c r="G152" s="16">
        <v>-709</v>
      </c>
      <c r="H152" s="16">
        <v>-6345.5000000000009</v>
      </c>
      <c r="I152" s="17">
        <f t="shared" si="21"/>
        <v>-0.43569411039474626</v>
      </c>
      <c r="J152" s="18">
        <f t="shared" si="22"/>
        <v>5692.8</v>
      </c>
      <c r="K152" s="17">
        <f t="shared" si="23"/>
        <v>0.39087848580178258</v>
      </c>
      <c r="L152" s="11">
        <v>79.473333333333343</v>
      </c>
      <c r="M152" s="14">
        <v>103.906316475239</v>
      </c>
      <c r="N152" s="15">
        <f t="shared" si="20"/>
        <v>103.906316475239</v>
      </c>
      <c r="Z152" s="4"/>
      <c r="AA152" s="8"/>
    </row>
    <row r="153" spans="1:29">
      <c r="A153" s="2">
        <v>39356</v>
      </c>
      <c r="B153" s="10">
        <v>15932.3</v>
      </c>
      <c r="C153" s="10">
        <v>15270</v>
      </c>
      <c r="D153" s="16">
        <f t="shared" si="16"/>
        <v>-662.29999999999927</v>
      </c>
      <c r="E153" s="12">
        <v>14715.058000000001</v>
      </c>
      <c r="F153" s="13">
        <f t="shared" si="15"/>
        <v>-4.5008317330451519E-2</v>
      </c>
      <c r="G153" s="16">
        <v>-670.3</v>
      </c>
      <c r="H153" s="16">
        <v>-6513.0750000000007</v>
      </c>
      <c r="I153" s="17">
        <f t="shared" si="21"/>
        <v>-0.44261293431531157</v>
      </c>
      <c r="J153" s="18">
        <f t="shared" si="22"/>
        <v>5850.7750000000015</v>
      </c>
      <c r="K153" s="17">
        <f t="shared" si="23"/>
        <v>0.39760461698486005</v>
      </c>
      <c r="L153" s="11">
        <v>76.186666666666667</v>
      </c>
      <c r="M153" s="14">
        <v>100.645755505994</v>
      </c>
      <c r="N153" s="15">
        <f t="shared" si="20"/>
        <v>100.645755505994</v>
      </c>
      <c r="Z153" s="4"/>
      <c r="AA153" s="8"/>
    </row>
    <row r="154" spans="1:29">
      <c r="A154" s="2">
        <v>39448</v>
      </c>
      <c r="B154" s="10">
        <v>15689.2</v>
      </c>
      <c r="C154" s="10">
        <v>14554</v>
      </c>
      <c r="D154" s="16">
        <f t="shared" si="16"/>
        <v>-1135.2000000000007</v>
      </c>
      <c r="E154" s="12">
        <v>14706.538</v>
      </c>
      <c r="F154" s="13">
        <f t="shared" ref="F154:F201" si="24">(C154-B154)/E154</f>
        <v>-7.7190158553971072E-2</v>
      </c>
      <c r="G154" s="16">
        <v>-735.6</v>
      </c>
      <c r="H154" s="16">
        <v>-6696.9750000000004</v>
      </c>
      <c r="I154" s="17">
        <f t="shared" si="21"/>
        <v>-0.45537399760569075</v>
      </c>
      <c r="J154" s="18">
        <f t="shared" si="22"/>
        <v>5561.7749999999996</v>
      </c>
      <c r="K154" s="17">
        <f t="shared" si="23"/>
        <v>0.37818383905171971</v>
      </c>
      <c r="L154" s="11">
        <v>75.463333333333324</v>
      </c>
      <c r="M154" s="14">
        <v>98.622611647615201</v>
      </c>
      <c r="N154" s="15">
        <f t="shared" si="20"/>
        <v>98.622611647615201</v>
      </c>
      <c r="Z154" s="4"/>
      <c r="AA154" s="8"/>
    </row>
    <row r="155" spans="1:29">
      <c r="A155" s="2">
        <v>39539</v>
      </c>
      <c r="B155" s="10">
        <v>15502.5</v>
      </c>
      <c r="C155" s="10">
        <v>14123.3</v>
      </c>
      <c r="D155" s="16">
        <f t="shared" ref="D155:D201" si="25">C155-B155</f>
        <v>-1379.2000000000007</v>
      </c>
      <c r="E155" s="12">
        <v>14865.700999999999</v>
      </c>
      <c r="F155" s="13">
        <f t="shared" si="24"/>
        <v>-9.2777326814255226E-2</v>
      </c>
      <c r="G155" s="16">
        <v>-731.3</v>
      </c>
      <c r="H155" s="16">
        <v>-6879.8</v>
      </c>
      <c r="I155" s="17">
        <f t="shared" si="21"/>
        <v>-0.46279687718729179</v>
      </c>
      <c r="J155" s="18">
        <f t="shared" si="22"/>
        <v>5500.5999999999995</v>
      </c>
      <c r="K155" s="17">
        <f t="shared" si="23"/>
        <v>0.37001955037303652</v>
      </c>
      <c r="L155" s="11">
        <v>74.67</v>
      </c>
      <c r="M155" s="14">
        <v>96.826945117337701</v>
      </c>
      <c r="N155" s="15">
        <f t="shared" si="20"/>
        <v>96.826945117337701</v>
      </c>
      <c r="Z155" s="4"/>
      <c r="AA155" s="8"/>
    </row>
    <row r="156" spans="1:29">
      <c r="A156" s="2">
        <v>39630</v>
      </c>
      <c r="B156" s="10">
        <v>14932.9</v>
      </c>
      <c r="C156" s="10">
        <v>12055.8</v>
      </c>
      <c r="D156" s="16">
        <f t="shared" si="25"/>
        <v>-2877.1000000000004</v>
      </c>
      <c r="E156" s="12">
        <v>14898.999</v>
      </c>
      <c r="F156" s="13">
        <f t="shared" si="24"/>
        <v>-0.19310693288857864</v>
      </c>
      <c r="G156" s="16">
        <v>-719</v>
      </c>
      <c r="H156" s="16">
        <v>-7059.55</v>
      </c>
      <c r="I156" s="17">
        <f t="shared" si="21"/>
        <v>-0.47382713429271323</v>
      </c>
      <c r="J156" s="18">
        <f t="shared" si="22"/>
        <v>4182.45</v>
      </c>
      <c r="K156" s="17">
        <f t="shared" si="23"/>
        <v>0.28072020140413462</v>
      </c>
      <c r="L156" s="11">
        <v>76.946666666666673</v>
      </c>
      <c r="M156" s="14">
        <v>98.782981990730903</v>
      </c>
      <c r="N156" s="15">
        <f t="shared" si="20"/>
        <v>98.782981990730903</v>
      </c>
      <c r="Z156" s="4"/>
      <c r="AA156" s="8"/>
    </row>
    <row r="157" spans="1:29">
      <c r="A157" s="2">
        <v>39722</v>
      </c>
      <c r="B157" s="10">
        <v>14008.3</v>
      </c>
      <c r="C157" s="10">
        <v>10175.4</v>
      </c>
      <c r="D157" s="16">
        <f t="shared" si="25"/>
        <v>-3832.8999999999996</v>
      </c>
      <c r="E157" s="12">
        <v>14608.209000000001</v>
      </c>
      <c r="F157" s="13">
        <f t="shared" si="24"/>
        <v>-0.26237987148184966</v>
      </c>
      <c r="G157" s="16">
        <v>-631.1</v>
      </c>
      <c r="H157" s="16">
        <v>-7217.3249999999998</v>
      </c>
      <c r="I157" s="17">
        <f t="shared" si="21"/>
        <v>-0.49405953871552627</v>
      </c>
      <c r="J157" s="18">
        <f t="shared" si="22"/>
        <v>3384.4250000000002</v>
      </c>
      <c r="K157" s="17">
        <f t="shared" si="23"/>
        <v>0.23167966723367664</v>
      </c>
      <c r="L157" s="11">
        <v>84.983333333333334</v>
      </c>
      <c r="M157" s="14">
        <v>107.533082744233</v>
      </c>
      <c r="N157" s="15">
        <f t="shared" si="20"/>
        <v>107.533082744233</v>
      </c>
      <c r="Z157" s="4"/>
      <c r="AA157" s="8"/>
    </row>
    <row r="158" spans="1:29">
      <c r="A158" s="2">
        <v>39814</v>
      </c>
      <c r="B158" s="10">
        <v>13240.9</v>
      </c>
      <c r="C158" s="10">
        <v>9502.1</v>
      </c>
      <c r="D158" s="16">
        <f t="shared" si="25"/>
        <v>-3738.7999999999993</v>
      </c>
      <c r="E158" s="12">
        <v>14430.902</v>
      </c>
      <c r="F158" s="13">
        <f t="shared" si="24"/>
        <v>-0.25908290417328034</v>
      </c>
      <c r="G158" s="16">
        <v>-403.2</v>
      </c>
      <c r="H158" s="16">
        <v>-7318.125</v>
      </c>
      <c r="I158" s="17">
        <f t="shared" si="21"/>
        <v>-0.50711487057427185</v>
      </c>
      <c r="J158" s="18">
        <f t="shared" si="22"/>
        <v>3579.3250000000007</v>
      </c>
      <c r="K158" s="17">
        <f t="shared" si="23"/>
        <v>0.24803196640099148</v>
      </c>
      <c r="L158" s="11">
        <v>87.50333333333333</v>
      </c>
      <c r="M158" s="14">
        <v>110.110546564256</v>
      </c>
      <c r="N158" s="15">
        <f t="shared" si="20"/>
        <v>110.110546564256</v>
      </c>
      <c r="Z158" s="4"/>
      <c r="AA158" s="8"/>
    </row>
    <row r="159" spans="1:29">
      <c r="A159" s="2">
        <v>39904</v>
      </c>
      <c r="B159" s="10">
        <v>13875.6</v>
      </c>
      <c r="C159" s="10">
        <v>10764.7</v>
      </c>
      <c r="D159" s="16">
        <f t="shared" si="25"/>
        <v>-3110.8999999999996</v>
      </c>
      <c r="E159" s="12">
        <v>14381.236000000001</v>
      </c>
      <c r="F159" s="13">
        <f t="shared" si="24"/>
        <v>-0.2163165947627867</v>
      </c>
      <c r="G159" s="16">
        <v>-354.5</v>
      </c>
      <c r="H159" s="16">
        <v>-7406.75</v>
      </c>
      <c r="I159" s="17">
        <f t="shared" si="21"/>
        <v>-0.51502874996279868</v>
      </c>
      <c r="J159" s="18">
        <f t="shared" si="22"/>
        <v>4295.8500000000004</v>
      </c>
      <c r="K159" s="17">
        <f t="shared" si="23"/>
        <v>0.29871215520001204</v>
      </c>
      <c r="L159" s="11">
        <v>83.763333333333335</v>
      </c>
      <c r="M159" s="14">
        <v>105.867242747143</v>
      </c>
      <c r="N159" s="15">
        <f t="shared" si="20"/>
        <v>105.867242747143</v>
      </c>
      <c r="Z159" s="4"/>
      <c r="AA159" s="8"/>
    </row>
    <row r="160" spans="1:29">
      <c r="A160" s="2">
        <v>39995</v>
      </c>
      <c r="B160" s="10">
        <v>14950.7</v>
      </c>
      <c r="C160" s="10">
        <v>12389.8</v>
      </c>
      <c r="D160" s="16">
        <f t="shared" si="25"/>
        <v>-2560.9000000000015</v>
      </c>
      <c r="E160" s="12">
        <v>14448.882</v>
      </c>
      <c r="F160" s="13">
        <f t="shared" si="24"/>
        <v>-0.17723862649027111</v>
      </c>
      <c r="G160" s="16">
        <v>-366.6</v>
      </c>
      <c r="H160" s="16">
        <v>-7498.4</v>
      </c>
      <c r="I160" s="17">
        <f t="shared" si="21"/>
        <v>-0.51896056732970752</v>
      </c>
      <c r="J160" s="18">
        <f t="shared" si="22"/>
        <v>4937.4999999999982</v>
      </c>
      <c r="K160" s="17">
        <f t="shared" si="23"/>
        <v>0.34172194083943647</v>
      </c>
      <c r="L160" s="11">
        <v>80.776666666666657</v>
      </c>
      <c r="M160" s="14">
        <v>102.541087424418</v>
      </c>
      <c r="N160" s="15">
        <f t="shared" si="20"/>
        <v>102.541087424418</v>
      </c>
      <c r="Z160" s="4"/>
      <c r="AA160" s="8"/>
    </row>
    <row r="161" spans="1:27">
      <c r="A161" s="2">
        <v>40087</v>
      </c>
      <c r="B161" s="10">
        <v>15242.2</v>
      </c>
      <c r="C161" s="10">
        <v>12566.7</v>
      </c>
      <c r="D161" s="16">
        <f t="shared" si="25"/>
        <v>-2675.5</v>
      </c>
      <c r="E161" s="12">
        <v>14651.249</v>
      </c>
      <c r="F161" s="13">
        <f t="shared" si="24"/>
        <v>-0.18261241754883833</v>
      </c>
      <c r="G161" s="16">
        <v>-408.1</v>
      </c>
      <c r="H161" s="16">
        <v>-7600.4249999999993</v>
      </c>
      <c r="I161" s="17">
        <f t="shared" si="21"/>
        <v>-0.5187561142398166</v>
      </c>
      <c r="J161" s="18">
        <f t="shared" si="22"/>
        <v>4924.9249999999993</v>
      </c>
      <c r="K161" s="17">
        <f t="shared" si="23"/>
        <v>0.33614369669097832</v>
      </c>
      <c r="L161" s="11">
        <v>78.083333333333329</v>
      </c>
      <c r="M161" s="14">
        <v>100.266437741874</v>
      </c>
      <c r="N161" s="15">
        <f t="shared" si="20"/>
        <v>100.266437741874</v>
      </c>
      <c r="Z161" s="4"/>
      <c r="AA161" s="8"/>
    </row>
    <row r="162" spans="1:27">
      <c r="A162" s="2">
        <v>40179</v>
      </c>
      <c r="B162" s="10">
        <v>15784.2</v>
      </c>
      <c r="C162" s="10">
        <v>12914.9</v>
      </c>
      <c r="D162" s="16">
        <f t="shared" si="25"/>
        <v>-2869.3000000000011</v>
      </c>
      <c r="E162" s="12">
        <v>14764.61</v>
      </c>
      <c r="F162" s="13">
        <f t="shared" si="24"/>
        <v>-0.19433632178567542</v>
      </c>
      <c r="G162" s="16">
        <v>-421.6</v>
      </c>
      <c r="H162" s="16">
        <v>-7705.8249999999989</v>
      </c>
      <c r="I162" s="17">
        <f t="shared" ref="I162:I193" si="26">H162/E162</f>
        <v>-0.52191185544352325</v>
      </c>
      <c r="J162" s="18">
        <f t="shared" ref="J162:J193" si="27">D162-H162</f>
        <v>4836.5249999999978</v>
      </c>
      <c r="K162" s="17">
        <f t="shared" ref="K162:K193" si="28">J162/E162</f>
        <v>0.32757553365784792</v>
      </c>
      <c r="L162" s="11">
        <v>79.123333333333335</v>
      </c>
      <c r="M162" s="14">
        <v>100.999207401465</v>
      </c>
      <c r="N162" s="15">
        <f t="shared" si="20"/>
        <v>100.999207401465</v>
      </c>
      <c r="Z162" s="4"/>
      <c r="AA162" s="8"/>
    </row>
    <row r="163" spans="1:27">
      <c r="A163" s="2">
        <v>40269</v>
      </c>
      <c r="B163" s="10">
        <v>15320.6</v>
      </c>
      <c r="C163" s="10">
        <v>12069.1</v>
      </c>
      <c r="D163" s="16">
        <f t="shared" si="25"/>
        <v>-3251.5</v>
      </c>
      <c r="E163" s="12">
        <v>14980.192999999999</v>
      </c>
      <c r="F163" s="13">
        <f t="shared" si="24"/>
        <v>-0.21705327828553345</v>
      </c>
      <c r="G163" s="16">
        <v>-444.1</v>
      </c>
      <c r="H163" s="16">
        <v>-7816.8499999999985</v>
      </c>
      <c r="I163" s="17">
        <f t="shared" si="26"/>
        <v>-0.52181236917308071</v>
      </c>
      <c r="J163" s="18">
        <f t="shared" si="27"/>
        <v>4565.3499999999985</v>
      </c>
      <c r="K163" s="17">
        <f t="shared" si="28"/>
        <v>0.30475909088754721</v>
      </c>
      <c r="L163" s="11">
        <v>81.00333333333333</v>
      </c>
      <c r="M163" s="14">
        <v>101.837791908124</v>
      </c>
      <c r="N163" s="15">
        <f t="shared" si="20"/>
        <v>101.837791908124</v>
      </c>
      <c r="Z163" s="4"/>
      <c r="AA163" s="8"/>
    </row>
    <row r="164" spans="1:27">
      <c r="A164" s="2">
        <v>40360</v>
      </c>
      <c r="B164" s="10">
        <v>16466.7</v>
      </c>
      <c r="C164" s="10">
        <v>13686.8</v>
      </c>
      <c r="D164" s="16">
        <f t="shared" si="25"/>
        <v>-2779.9000000000015</v>
      </c>
      <c r="E164" s="12">
        <v>15141.607</v>
      </c>
      <c r="F164" s="13">
        <f t="shared" si="24"/>
        <v>-0.18359345873922112</v>
      </c>
      <c r="G164" s="16">
        <v>-472.7</v>
      </c>
      <c r="H164" s="16">
        <v>-7935.0249999999987</v>
      </c>
      <c r="I164" s="17">
        <f t="shared" si="26"/>
        <v>-0.52405434905291093</v>
      </c>
      <c r="J164" s="18">
        <f t="shared" si="27"/>
        <v>5155.1249999999973</v>
      </c>
      <c r="K164" s="17">
        <f t="shared" si="28"/>
        <v>0.34046089031368976</v>
      </c>
      <c r="L164" s="11">
        <v>79.959999999999994</v>
      </c>
      <c r="M164" s="14">
        <v>100.291950729093</v>
      </c>
      <c r="N164" s="15">
        <f t="shared" si="20"/>
        <v>100.291950729093</v>
      </c>
      <c r="Z164" s="4"/>
      <c r="AA164" s="8"/>
    </row>
    <row r="165" spans="1:27">
      <c r="A165" s="2">
        <v>40452</v>
      </c>
      <c r="B165" s="10">
        <v>17072.400000000001</v>
      </c>
      <c r="C165" s="10">
        <v>14466.1</v>
      </c>
      <c r="D165" s="16">
        <f t="shared" si="25"/>
        <v>-2606.3000000000011</v>
      </c>
      <c r="E165" s="12">
        <v>15309.474</v>
      </c>
      <c r="F165" s="13">
        <f t="shared" si="24"/>
        <v>-0.17024098933771342</v>
      </c>
      <c r="G165" s="16">
        <v>-420.8</v>
      </c>
      <c r="H165" s="16">
        <v>-8040.2249999999985</v>
      </c>
      <c r="I165" s="17">
        <f t="shared" si="26"/>
        <v>-0.52517970245091361</v>
      </c>
      <c r="J165" s="18">
        <f t="shared" si="27"/>
        <v>5433.9249999999975</v>
      </c>
      <c r="K165" s="17">
        <f t="shared" si="28"/>
        <v>0.35493871311320019</v>
      </c>
      <c r="L165" s="11">
        <v>76.436666666666667</v>
      </c>
      <c r="M165" s="14">
        <v>96.871049961318107</v>
      </c>
      <c r="N165" s="15">
        <f t="shared" si="20"/>
        <v>96.871049961318107</v>
      </c>
      <c r="Z165" s="4"/>
      <c r="AA165" s="8"/>
    </row>
    <row r="166" spans="1:27">
      <c r="A166" s="2">
        <v>40544</v>
      </c>
      <c r="B166" s="10">
        <v>17945.099999999999</v>
      </c>
      <c r="C166" s="10">
        <v>15169</v>
      </c>
      <c r="D166" s="16">
        <f t="shared" si="25"/>
        <v>-2776.0999999999985</v>
      </c>
      <c r="E166" s="12">
        <v>15351.448</v>
      </c>
      <c r="F166" s="13">
        <f t="shared" si="24"/>
        <v>-0.18083636149501978</v>
      </c>
      <c r="G166" s="16">
        <v>-476.6</v>
      </c>
      <c r="H166" s="16">
        <v>-8159.3749999999982</v>
      </c>
      <c r="I166" s="17">
        <f t="shared" si="26"/>
        <v>-0.53150523650928549</v>
      </c>
      <c r="J166" s="18">
        <f t="shared" si="27"/>
        <v>5383.2749999999996</v>
      </c>
      <c r="K166" s="17">
        <f t="shared" si="28"/>
        <v>0.35066887501426575</v>
      </c>
      <c r="L166" s="11">
        <v>75.566666666666663</v>
      </c>
      <c r="M166" s="14">
        <v>95.730198059084998</v>
      </c>
      <c r="N166" s="15">
        <f t="shared" si="20"/>
        <v>95.730198059084998</v>
      </c>
      <c r="Z166" s="4"/>
      <c r="AA166" s="8"/>
    </row>
    <row r="167" spans="1:27">
      <c r="A167" s="2">
        <v>40634</v>
      </c>
      <c r="B167" s="10">
        <v>18201.7</v>
      </c>
      <c r="C167" s="10">
        <v>15398.9</v>
      </c>
      <c r="D167" s="16">
        <f t="shared" si="25"/>
        <v>-2802.8000000000011</v>
      </c>
      <c r="E167" s="12">
        <v>15557.539000000001</v>
      </c>
      <c r="F167" s="13">
        <f t="shared" si="24"/>
        <v>-0.18015702869200592</v>
      </c>
      <c r="G167" s="16">
        <v>-477.9</v>
      </c>
      <c r="H167" s="16">
        <v>-8278.8499999999985</v>
      </c>
      <c r="I167" s="17">
        <f t="shared" si="26"/>
        <v>-0.5321439335617284</v>
      </c>
      <c r="J167" s="18">
        <f t="shared" si="27"/>
        <v>5476.0499999999975</v>
      </c>
      <c r="K167" s="17">
        <f t="shared" si="28"/>
        <v>0.35198690486972245</v>
      </c>
      <c r="L167" s="11">
        <v>73.883333333333326</v>
      </c>
      <c r="M167" s="14">
        <v>93.385633491733103</v>
      </c>
      <c r="N167" s="15">
        <f t="shared" si="20"/>
        <v>93.385633491733103</v>
      </c>
      <c r="Z167" s="4"/>
      <c r="AA167" s="8"/>
    </row>
    <row r="168" spans="1:27">
      <c r="A168" s="2">
        <v>40725</v>
      </c>
      <c r="B168" s="10">
        <v>17721.099999999999</v>
      </c>
      <c r="C168" s="10">
        <v>13542.6</v>
      </c>
      <c r="D168" s="16">
        <f t="shared" si="25"/>
        <v>-4178.4999999999982</v>
      </c>
      <c r="E168" s="12">
        <v>15647.68</v>
      </c>
      <c r="F168" s="13">
        <f t="shared" si="24"/>
        <v>-0.26703639133724605</v>
      </c>
      <c r="G168" s="16">
        <v>-436.4</v>
      </c>
      <c r="H168" s="16">
        <v>-8387.9499999999989</v>
      </c>
      <c r="I168" s="17">
        <f t="shared" si="26"/>
        <v>-0.53605071167099527</v>
      </c>
      <c r="J168" s="18">
        <f t="shared" si="27"/>
        <v>4209.4500000000007</v>
      </c>
      <c r="K168" s="17">
        <f t="shared" si="28"/>
        <v>0.26901432033374922</v>
      </c>
      <c r="L168" s="11">
        <v>74.836666666666687</v>
      </c>
      <c r="M168" s="14">
        <v>93.675676364265598</v>
      </c>
      <c r="N168" s="15">
        <f t="shared" si="20"/>
        <v>93.675676364265598</v>
      </c>
      <c r="Z168" s="4"/>
      <c r="AA168" s="8"/>
    </row>
    <row r="169" spans="1:27">
      <c r="A169" s="2">
        <v>40817</v>
      </c>
      <c r="B169" s="10">
        <v>18459.400000000001</v>
      </c>
      <c r="C169" s="10">
        <v>13997.6</v>
      </c>
      <c r="D169" s="16">
        <f t="shared" si="25"/>
        <v>-4461.8000000000011</v>
      </c>
      <c r="E169" s="12">
        <v>15842.259</v>
      </c>
      <c r="F169" s="13">
        <f t="shared" si="24"/>
        <v>-0.28163912734919944</v>
      </c>
      <c r="G169" s="16">
        <v>-450.4</v>
      </c>
      <c r="H169" s="16">
        <v>-8500.5499999999993</v>
      </c>
      <c r="I169" s="17">
        <f t="shared" si="26"/>
        <v>-0.5365743610175796</v>
      </c>
      <c r="J169" s="18">
        <f t="shared" si="27"/>
        <v>4038.7499999999982</v>
      </c>
      <c r="K169" s="17">
        <f t="shared" si="28"/>
        <v>0.25493523366838011</v>
      </c>
      <c r="L169" s="11">
        <v>77.940000000000012</v>
      </c>
      <c r="M169" s="14">
        <v>97.242626165021306</v>
      </c>
      <c r="N169" s="15">
        <f t="shared" si="20"/>
        <v>97.242626165021306</v>
      </c>
      <c r="Z169" s="4"/>
      <c r="AA169" s="8"/>
    </row>
    <row r="170" spans="1:27">
      <c r="A170" s="2">
        <v>40909</v>
      </c>
      <c r="B170" s="10">
        <v>19377.8</v>
      </c>
      <c r="C170" s="10">
        <v>14858.9</v>
      </c>
      <c r="D170" s="16">
        <f t="shared" si="25"/>
        <v>-4518.8999999999996</v>
      </c>
      <c r="E170" s="12">
        <v>16068.805</v>
      </c>
      <c r="F170" s="13">
        <f t="shared" si="24"/>
        <v>-0.28122190791412299</v>
      </c>
      <c r="G170" s="16">
        <v>-467.3</v>
      </c>
      <c r="H170" s="16">
        <v>-8617.375</v>
      </c>
      <c r="I170" s="17">
        <f t="shared" si="26"/>
        <v>-0.53627976691483903</v>
      </c>
      <c r="J170" s="18">
        <f t="shared" si="27"/>
        <v>4098.4750000000004</v>
      </c>
      <c r="K170" s="17">
        <f t="shared" si="28"/>
        <v>0.25505785900071598</v>
      </c>
      <c r="L170" s="11">
        <v>77.676666666666662</v>
      </c>
      <c r="M170" s="14">
        <v>96.725742364646194</v>
      </c>
      <c r="N170" s="15">
        <f t="shared" si="20"/>
        <v>96.725742364646194</v>
      </c>
      <c r="Z170" s="4"/>
      <c r="AA170" s="8"/>
    </row>
    <row r="171" spans="1:27">
      <c r="A171" s="2">
        <v>41000</v>
      </c>
      <c r="B171" s="10">
        <v>19297.5</v>
      </c>
      <c r="C171" s="10">
        <v>14197.8</v>
      </c>
      <c r="D171" s="16">
        <f t="shared" si="25"/>
        <v>-5099.7000000000007</v>
      </c>
      <c r="E171" s="12">
        <v>16207.115</v>
      </c>
      <c r="F171" s="13">
        <f t="shared" si="24"/>
        <v>-0.31465809923604543</v>
      </c>
      <c r="G171" s="16">
        <v>-445.7</v>
      </c>
      <c r="H171" s="16">
        <v>-8728.7999999999993</v>
      </c>
      <c r="I171" s="17">
        <f t="shared" si="26"/>
        <v>-0.53857827256732616</v>
      </c>
      <c r="J171" s="18">
        <f t="shared" si="27"/>
        <v>3629.0999999999985</v>
      </c>
      <c r="K171" s="17">
        <f t="shared" si="28"/>
        <v>0.22392017333128064</v>
      </c>
      <c r="L171" s="11">
        <v>79.363333333333344</v>
      </c>
      <c r="M171" s="14">
        <v>98.1216495110681</v>
      </c>
      <c r="N171" s="15">
        <f t="shared" ref="N171:N201" si="29">M171</f>
        <v>98.1216495110681</v>
      </c>
      <c r="Z171" s="4"/>
      <c r="AA171" s="8"/>
    </row>
    <row r="172" spans="1:27">
      <c r="A172" s="2">
        <v>41091</v>
      </c>
      <c r="B172" s="10">
        <v>20009.400000000001</v>
      </c>
      <c r="C172" s="10">
        <v>15114.6</v>
      </c>
      <c r="D172" s="16">
        <f t="shared" si="25"/>
        <v>-4894.8000000000011</v>
      </c>
      <c r="E172" s="12">
        <v>16319.540999999999</v>
      </c>
      <c r="F172" s="13">
        <f t="shared" si="24"/>
        <v>-0.29993490625747388</v>
      </c>
      <c r="G172" s="16">
        <v>-397.9</v>
      </c>
      <c r="H172" s="16">
        <v>-8828.2749999999996</v>
      </c>
      <c r="I172" s="17">
        <f t="shared" si="26"/>
        <v>-0.54096343763589916</v>
      </c>
      <c r="J172" s="18">
        <f t="shared" si="27"/>
        <v>3933.4749999999985</v>
      </c>
      <c r="K172" s="17">
        <f t="shared" si="28"/>
        <v>0.24102853137842534</v>
      </c>
      <c r="L172" s="11">
        <v>78.993333333333325</v>
      </c>
      <c r="M172" s="14">
        <v>97.874044893460507</v>
      </c>
      <c r="N172" s="15">
        <f t="shared" si="29"/>
        <v>97.874044893460507</v>
      </c>
      <c r="Z172" s="4"/>
      <c r="AA172" s="8"/>
    </row>
    <row r="173" spans="1:27">
      <c r="A173" s="2">
        <v>41183</v>
      </c>
      <c r="B173" s="10">
        <v>20023.599999999999</v>
      </c>
      <c r="C173" s="10">
        <v>15629.2</v>
      </c>
      <c r="D173" s="16">
        <f t="shared" si="25"/>
        <v>-4394.3999999999978</v>
      </c>
      <c r="E173" s="12">
        <v>16420.419000000002</v>
      </c>
      <c r="F173" s="13">
        <f t="shared" si="24"/>
        <v>-0.26761801876066604</v>
      </c>
      <c r="G173" s="16">
        <v>-385.1</v>
      </c>
      <c r="H173" s="16">
        <v>-8924.5499999999993</v>
      </c>
      <c r="I173" s="17">
        <f t="shared" si="26"/>
        <v>-0.54350318344495341</v>
      </c>
      <c r="J173" s="18">
        <f t="shared" si="27"/>
        <v>4530.1500000000015</v>
      </c>
      <c r="K173" s="17">
        <f t="shared" si="28"/>
        <v>0.27588516468428737</v>
      </c>
      <c r="L173" s="11">
        <v>77.38333333333334</v>
      </c>
      <c r="M173" s="14">
        <v>96.758420739371303</v>
      </c>
      <c r="N173" s="15">
        <f t="shared" si="29"/>
        <v>96.758420739371303</v>
      </c>
      <c r="Z173" s="4"/>
      <c r="AA173" s="8"/>
    </row>
    <row r="174" spans="1:27">
      <c r="A174" s="2">
        <v>41275</v>
      </c>
      <c r="B174" s="10">
        <v>21110</v>
      </c>
      <c r="C174" s="10">
        <v>16179.6</v>
      </c>
      <c r="D174" s="16">
        <f t="shared" si="25"/>
        <v>-4930.3999999999996</v>
      </c>
      <c r="E174" s="12">
        <v>16648.188999999998</v>
      </c>
      <c r="F174" s="13">
        <f t="shared" si="24"/>
        <v>-0.29615233224466636</v>
      </c>
      <c r="G174" s="16">
        <v>-381.2</v>
      </c>
      <c r="H174" s="16">
        <v>-9019.8499999999985</v>
      </c>
      <c r="I174" s="17">
        <f t="shared" si="26"/>
        <v>-0.5417916627448186</v>
      </c>
      <c r="J174" s="18">
        <f t="shared" si="27"/>
        <v>4089.4499999999989</v>
      </c>
      <c r="K174" s="17">
        <f t="shared" si="28"/>
        <v>0.24563933050015224</v>
      </c>
      <c r="L174" s="11">
        <v>78.536666666666676</v>
      </c>
      <c r="M174" s="14">
        <v>97.132238795589302</v>
      </c>
      <c r="N174" s="15">
        <f t="shared" si="29"/>
        <v>97.132238795589302</v>
      </c>
      <c r="Z174" s="4"/>
      <c r="AA174" s="8"/>
    </row>
    <row r="175" spans="1:27">
      <c r="A175" s="2">
        <v>41365</v>
      </c>
      <c r="B175" s="10">
        <v>21355.599999999999</v>
      </c>
      <c r="C175" s="10">
        <v>16061</v>
      </c>
      <c r="D175" s="16">
        <f t="shared" si="25"/>
        <v>-5294.5999999999985</v>
      </c>
      <c r="E175" s="12">
        <v>16728.687000000002</v>
      </c>
      <c r="F175" s="13">
        <f t="shared" si="24"/>
        <v>-0.3164982404177924</v>
      </c>
      <c r="G175" s="16">
        <v>-376.7</v>
      </c>
      <c r="H175" s="16">
        <v>-9114.0249999999978</v>
      </c>
      <c r="I175" s="17">
        <f t="shared" si="26"/>
        <v>-0.5448141267751615</v>
      </c>
      <c r="J175" s="18">
        <f t="shared" si="27"/>
        <v>3819.4249999999993</v>
      </c>
      <c r="K175" s="17">
        <f t="shared" si="28"/>
        <v>0.22831588635736916</v>
      </c>
      <c r="L175" s="11">
        <v>79.806666666666672</v>
      </c>
      <c r="M175" s="14">
        <v>97.485159734931997</v>
      </c>
      <c r="N175" s="15">
        <f t="shared" si="29"/>
        <v>97.485159734931997</v>
      </c>
      <c r="Z175" s="4"/>
      <c r="AA175" s="8"/>
    </row>
    <row r="176" spans="1:27">
      <c r="A176" s="2">
        <v>41456</v>
      </c>
      <c r="B176" s="10">
        <v>21978.400000000001</v>
      </c>
      <c r="C176" s="10">
        <v>17232.400000000001</v>
      </c>
      <c r="D176" s="16">
        <f t="shared" si="25"/>
        <v>-4746</v>
      </c>
      <c r="E176" s="12">
        <v>16953.838</v>
      </c>
      <c r="F176" s="13">
        <f t="shared" si="24"/>
        <v>-0.27993661376261825</v>
      </c>
      <c r="G176" s="16">
        <v>-352.5</v>
      </c>
      <c r="H176" s="16">
        <v>-9202.1499999999978</v>
      </c>
      <c r="I176" s="17">
        <f t="shared" si="26"/>
        <v>-0.54277680369483283</v>
      </c>
      <c r="J176" s="18">
        <f t="shared" si="27"/>
        <v>4456.1499999999978</v>
      </c>
      <c r="K176" s="17">
        <f t="shared" si="28"/>
        <v>0.26284018993221464</v>
      </c>
      <c r="L176" s="11">
        <v>80.463333333333324</v>
      </c>
      <c r="M176" s="14">
        <v>98.280082437903303</v>
      </c>
      <c r="N176" s="15">
        <f t="shared" si="29"/>
        <v>98.280082437903303</v>
      </c>
      <c r="Z176" s="4"/>
      <c r="AA176" s="8"/>
    </row>
    <row r="177" spans="1:27">
      <c r="A177" s="2">
        <v>41548</v>
      </c>
      <c r="B177" s="10">
        <v>23022</v>
      </c>
      <c r="C177" s="10">
        <v>17902.7</v>
      </c>
      <c r="D177" s="16">
        <f t="shared" si="25"/>
        <v>-5119.2999999999993</v>
      </c>
      <c r="E177" s="12">
        <v>17192.019</v>
      </c>
      <c r="F177" s="13">
        <f t="shared" si="24"/>
        <v>-0.29777189054991149</v>
      </c>
      <c r="G177" s="16">
        <v>-294.39999999999998</v>
      </c>
      <c r="H177" s="16">
        <v>-9275.7499999999982</v>
      </c>
      <c r="I177" s="17">
        <f t="shared" si="26"/>
        <v>-0.53953814266957234</v>
      </c>
      <c r="J177" s="18">
        <f t="shared" si="27"/>
        <v>4156.4499999999989</v>
      </c>
      <c r="K177" s="17">
        <f t="shared" si="28"/>
        <v>0.2417662521196608</v>
      </c>
      <c r="L177" s="11">
        <v>79.220000000000013</v>
      </c>
      <c r="M177" s="14">
        <v>97.328452584882797</v>
      </c>
      <c r="N177" s="15">
        <f t="shared" si="29"/>
        <v>97.328452584882797</v>
      </c>
      <c r="Z177" s="4"/>
      <c r="AA177" s="8"/>
    </row>
    <row r="178" spans="1:27">
      <c r="A178" s="2">
        <v>41640</v>
      </c>
      <c r="B178" s="10">
        <v>23542</v>
      </c>
      <c r="C178" s="10">
        <v>18342.400000000001</v>
      </c>
      <c r="D178" s="16">
        <f t="shared" si="25"/>
        <v>-5199.5999999999985</v>
      </c>
      <c r="E178" s="12">
        <v>17197.738000000001</v>
      </c>
      <c r="F178" s="13">
        <f t="shared" si="24"/>
        <v>-0.3023420870814521</v>
      </c>
      <c r="G178" s="16">
        <v>-371.6</v>
      </c>
      <c r="H178" s="16">
        <v>-9368.6499999999978</v>
      </c>
      <c r="I178" s="17">
        <f t="shared" si="26"/>
        <v>-0.54476059584115055</v>
      </c>
      <c r="J178" s="18">
        <f t="shared" si="27"/>
        <v>4169.0499999999993</v>
      </c>
      <c r="K178" s="17">
        <f t="shared" si="28"/>
        <v>0.24241850875969845</v>
      </c>
      <c r="L178" s="11">
        <v>80.61</v>
      </c>
      <c r="M178" s="14">
        <v>98.5056895632421</v>
      </c>
      <c r="N178" s="15">
        <f t="shared" si="29"/>
        <v>98.5056895632421</v>
      </c>
      <c r="Z178" s="4"/>
      <c r="AA178" s="8"/>
    </row>
    <row r="179" spans="1:27">
      <c r="A179" s="2">
        <v>41730</v>
      </c>
      <c r="B179" s="10">
        <v>24385.3</v>
      </c>
      <c r="C179" s="10">
        <v>19221.2</v>
      </c>
      <c r="D179" s="16">
        <f t="shared" si="25"/>
        <v>-5164.0999999999985</v>
      </c>
      <c r="E179" s="12">
        <v>17518.508000000002</v>
      </c>
      <c r="F179" s="13">
        <f t="shared" si="24"/>
        <v>-0.29477966959286706</v>
      </c>
      <c r="G179" s="16">
        <v>-345.3</v>
      </c>
      <c r="H179" s="16">
        <v>-9454.9749999999985</v>
      </c>
      <c r="I179" s="17">
        <f t="shared" si="26"/>
        <v>-0.53971348473283209</v>
      </c>
      <c r="J179" s="18">
        <f t="shared" si="27"/>
        <v>4290.875</v>
      </c>
      <c r="K179" s="17">
        <f t="shared" si="28"/>
        <v>0.24493381513996509</v>
      </c>
      <c r="L179" s="11">
        <v>79.989999999999995</v>
      </c>
      <c r="M179" s="14">
        <v>97.614873849352605</v>
      </c>
      <c r="N179" s="15">
        <f t="shared" si="29"/>
        <v>97.614873849352605</v>
      </c>
      <c r="Z179" s="4"/>
      <c r="AA179" s="8"/>
    </row>
    <row r="180" spans="1:27">
      <c r="A180" s="2">
        <v>41821</v>
      </c>
      <c r="B180" s="10">
        <v>24610.1</v>
      </c>
      <c r="C180" s="10">
        <v>18733.7</v>
      </c>
      <c r="D180" s="16">
        <f t="shared" si="25"/>
        <v>-5876.3999999999978</v>
      </c>
      <c r="E180" s="12">
        <v>17804.227999999999</v>
      </c>
      <c r="F180" s="13">
        <f t="shared" si="24"/>
        <v>-0.33005643378640165</v>
      </c>
      <c r="G180" s="16">
        <v>-356</v>
      </c>
      <c r="H180" s="16">
        <v>-9543.9749999999985</v>
      </c>
      <c r="I180" s="17">
        <f t="shared" si="26"/>
        <v>-0.53605104360604683</v>
      </c>
      <c r="J180" s="18">
        <f t="shared" si="27"/>
        <v>3667.5750000000007</v>
      </c>
      <c r="K180" s="17">
        <f t="shared" si="28"/>
        <v>0.20599460981964512</v>
      </c>
      <c r="L180" s="11">
        <v>81.173333333333332</v>
      </c>
      <c r="M180" s="14">
        <v>98.448618778610793</v>
      </c>
      <c r="N180" s="15">
        <f t="shared" si="29"/>
        <v>98.448618778610793</v>
      </c>
      <c r="Z180" s="4"/>
      <c r="AA180" s="8"/>
    </row>
    <row r="181" spans="1:27">
      <c r="A181" s="2">
        <v>41913</v>
      </c>
      <c r="B181" s="10">
        <v>25147.9</v>
      </c>
      <c r="C181" s="10">
        <v>18414.2</v>
      </c>
      <c r="D181" s="16">
        <f t="shared" si="25"/>
        <v>-6733.7000000000007</v>
      </c>
      <c r="E181" s="12">
        <v>17912.079000000002</v>
      </c>
      <c r="F181" s="13">
        <f t="shared" si="24"/>
        <v>-0.37593067784035566</v>
      </c>
      <c r="G181" s="16">
        <v>-427.5</v>
      </c>
      <c r="H181" s="16">
        <v>-9650.8499999999985</v>
      </c>
      <c r="I181" s="17">
        <f t="shared" si="26"/>
        <v>-0.53879005334891594</v>
      </c>
      <c r="J181" s="18">
        <f t="shared" si="27"/>
        <v>2917.1499999999978</v>
      </c>
      <c r="K181" s="17">
        <f t="shared" si="28"/>
        <v>0.16285937550856031</v>
      </c>
      <c r="L181" s="11">
        <v>85.063333333333333</v>
      </c>
      <c r="M181" s="14">
        <v>102.215097056983</v>
      </c>
      <c r="N181" s="15">
        <f t="shared" si="29"/>
        <v>102.215097056983</v>
      </c>
      <c r="Z181" s="4"/>
      <c r="AA181" s="8"/>
    </row>
    <row r="182" spans="1:27">
      <c r="A182" s="2">
        <v>42005</v>
      </c>
      <c r="B182" s="10">
        <v>25671.7</v>
      </c>
      <c r="C182" s="10">
        <v>19053.3</v>
      </c>
      <c r="D182" s="16">
        <f t="shared" si="25"/>
        <v>-6618.4000000000015</v>
      </c>
      <c r="E182" s="12">
        <v>18063.528999999999</v>
      </c>
      <c r="F182" s="13">
        <f t="shared" si="24"/>
        <v>-0.36639573584984431</v>
      </c>
      <c r="G182" s="16">
        <v>-418.9</v>
      </c>
      <c r="H182" s="16">
        <v>-9755.5749999999989</v>
      </c>
      <c r="I182" s="17">
        <f t="shared" si="26"/>
        <v>-0.54007027087564119</v>
      </c>
      <c r="J182" s="18">
        <f t="shared" si="27"/>
        <v>3137.1749999999975</v>
      </c>
      <c r="K182" s="17">
        <f t="shared" si="28"/>
        <v>0.17367453502579688</v>
      </c>
      <c r="L182" s="11">
        <v>91.01</v>
      </c>
      <c r="M182" s="14">
        <v>107.14055676420701</v>
      </c>
      <c r="N182" s="15">
        <f t="shared" si="29"/>
        <v>107.14055676420701</v>
      </c>
      <c r="Z182" s="4"/>
      <c r="AA182" s="8"/>
    </row>
    <row r="183" spans="1:27">
      <c r="A183" s="2">
        <v>42095</v>
      </c>
      <c r="B183" s="10">
        <v>25626.1</v>
      </c>
      <c r="C183" s="10">
        <v>19067.8</v>
      </c>
      <c r="D183" s="16">
        <f t="shared" si="25"/>
        <v>-6558.2999999999993</v>
      </c>
      <c r="E183" s="12">
        <v>18279.784</v>
      </c>
      <c r="F183" s="13">
        <f t="shared" si="24"/>
        <v>-0.35877338594372882</v>
      </c>
      <c r="G183" s="16">
        <v>-405.4</v>
      </c>
      <c r="H183" s="16">
        <v>-9856.9249999999993</v>
      </c>
      <c r="I183" s="17">
        <f t="shared" si="26"/>
        <v>-0.53922546349562994</v>
      </c>
      <c r="J183" s="18">
        <f t="shared" si="27"/>
        <v>3298.625</v>
      </c>
      <c r="K183" s="17">
        <f t="shared" si="28"/>
        <v>0.18045207755190104</v>
      </c>
      <c r="L183" s="11">
        <v>92.283333333333346</v>
      </c>
      <c r="M183" s="14">
        <v>107.879321219118</v>
      </c>
      <c r="N183" s="15">
        <f t="shared" si="29"/>
        <v>107.879321219118</v>
      </c>
      <c r="Z183" s="4"/>
      <c r="AA183" s="8"/>
    </row>
    <row r="184" spans="1:27">
      <c r="A184" s="2">
        <v>42186</v>
      </c>
      <c r="B184" s="10">
        <v>24742.9</v>
      </c>
      <c r="C184" s="10">
        <v>17648.7</v>
      </c>
      <c r="D184" s="16">
        <f t="shared" si="25"/>
        <v>-7094.2000000000007</v>
      </c>
      <c r="E184" s="12">
        <v>18401.626</v>
      </c>
      <c r="F184" s="13">
        <f t="shared" si="24"/>
        <v>-0.38552027956659918</v>
      </c>
      <c r="G184" s="16">
        <v>-454.2</v>
      </c>
      <c r="H184" s="16">
        <v>-9970.4749999999985</v>
      </c>
      <c r="I184" s="17">
        <f t="shared" si="26"/>
        <v>-0.54182576039747787</v>
      </c>
      <c r="J184" s="18">
        <f t="shared" si="27"/>
        <v>2876.2749999999978</v>
      </c>
      <c r="K184" s="17">
        <f t="shared" si="28"/>
        <v>0.15630548083087864</v>
      </c>
      <c r="L184" s="11">
        <v>95.49666666666667</v>
      </c>
      <c r="M184" s="14">
        <v>111.416016325637</v>
      </c>
      <c r="N184" s="15">
        <f t="shared" si="29"/>
        <v>111.416016325637</v>
      </c>
      <c r="Z184" s="4"/>
      <c r="AA184" s="8"/>
    </row>
    <row r="185" spans="1:27">
      <c r="A185" s="2">
        <v>42278</v>
      </c>
      <c r="B185" s="10">
        <v>25137.599999999999</v>
      </c>
      <c r="C185" s="10">
        <v>17847.2</v>
      </c>
      <c r="D185" s="16">
        <f t="shared" si="25"/>
        <v>-7290.3999999999978</v>
      </c>
      <c r="E185" s="12">
        <v>18435.136999999999</v>
      </c>
      <c r="F185" s="13">
        <f t="shared" si="24"/>
        <v>-0.39546220893286543</v>
      </c>
      <c r="G185" s="16">
        <v>-413.8</v>
      </c>
      <c r="H185" s="16">
        <v>-10073.924999999999</v>
      </c>
      <c r="I185" s="17">
        <f t="shared" si="26"/>
        <v>-0.54645240770383208</v>
      </c>
      <c r="J185" s="18">
        <f t="shared" si="27"/>
        <v>2783.5250000000015</v>
      </c>
      <c r="K185" s="17">
        <f t="shared" si="28"/>
        <v>0.15099019877096664</v>
      </c>
      <c r="L185" s="11">
        <v>96.14</v>
      </c>
      <c r="M185" s="14">
        <v>113.18754503477</v>
      </c>
      <c r="N185" s="15">
        <f t="shared" si="29"/>
        <v>113.18754503477</v>
      </c>
      <c r="Z185" s="4"/>
      <c r="AA185" s="8"/>
    </row>
    <row r="186" spans="1:27">
      <c r="A186" s="2">
        <v>42370</v>
      </c>
      <c r="B186" s="10">
        <v>25553.3</v>
      </c>
      <c r="C186" s="10">
        <v>17943.2</v>
      </c>
      <c r="D186" s="16">
        <f t="shared" si="25"/>
        <v>-7610.0999999999985</v>
      </c>
      <c r="E186" s="12">
        <v>18525.933000000001</v>
      </c>
      <c r="F186" s="13">
        <f t="shared" si="24"/>
        <v>-0.41078093070940064</v>
      </c>
      <c r="G186" s="16">
        <v>-428.1</v>
      </c>
      <c r="H186" s="16">
        <v>-10180.949999999999</v>
      </c>
      <c r="I186" s="17">
        <f t="shared" si="26"/>
        <v>-0.54955126956358946</v>
      </c>
      <c r="J186" s="18">
        <f t="shared" si="27"/>
        <v>2570.8500000000004</v>
      </c>
      <c r="K186" s="17">
        <f t="shared" si="28"/>
        <v>0.13877033885418891</v>
      </c>
      <c r="L186" s="11">
        <v>98.146666666666661</v>
      </c>
      <c r="M186" s="14">
        <v>115.03719355944099</v>
      </c>
      <c r="N186" s="15">
        <f t="shared" si="29"/>
        <v>115.03719355944099</v>
      </c>
      <c r="Z186" s="4"/>
      <c r="AA186" s="8"/>
    </row>
    <row r="187" spans="1:27">
      <c r="A187" s="2">
        <v>42461</v>
      </c>
      <c r="B187" s="10">
        <v>26184.6</v>
      </c>
      <c r="C187" s="10">
        <v>18102</v>
      </c>
      <c r="D187" s="16">
        <f t="shared" si="25"/>
        <v>-8082.5999999999985</v>
      </c>
      <c r="E187" s="12">
        <v>18711.702000000001</v>
      </c>
      <c r="F187" s="13">
        <f t="shared" si="24"/>
        <v>-0.43195429255981088</v>
      </c>
      <c r="G187" s="16">
        <v>-397.2</v>
      </c>
      <c r="H187" s="16">
        <v>-10280.249999999998</v>
      </c>
      <c r="I187" s="17">
        <f t="shared" si="26"/>
        <v>-0.54940218693093756</v>
      </c>
      <c r="J187" s="18">
        <f t="shared" si="27"/>
        <v>2197.6499999999996</v>
      </c>
      <c r="K187" s="17">
        <f t="shared" si="28"/>
        <v>0.11744789437112667</v>
      </c>
      <c r="L187" s="11">
        <v>95.683333333333337</v>
      </c>
      <c r="M187" s="14">
        <v>112.388354191112</v>
      </c>
      <c r="N187" s="15">
        <f t="shared" si="29"/>
        <v>112.388354191112</v>
      </c>
      <c r="Z187" s="4"/>
      <c r="AA187" s="8"/>
    </row>
    <row r="188" spans="1:27">
      <c r="A188" s="2">
        <v>42552</v>
      </c>
      <c r="B188" s="10">
        <v>26851.4</v>
      </c>
      <c r="C188" s="10">
        <v>18901.8</v>
      </c>
      <c r="D188" s="16">
        <f t="shared" si="25"/>
        <v>-7949.6000000000022</v>
      </c>
      <c r="E188" s="12">
        <v>18892.638999999999</v>
      </c>
      <c r="F188" s="13">
        <f t="shared" si="24"/>
        <v>-0.42077763725861711</v>
      </c>
      <c r="G188" s="16">
        <v>-392.8</v>
      </c>
      <c r="H188" s="16">
        <v>-10378.449999999999</v>
      </c>
      <c r="I188" s="17">
        <f t="shared" si="26"/>
        <v>-0.54933828990222067</v>
      </c>
      <c r="J188" s="18">
        <f t="shared" si="27"/>
        <v>2428.8499999999967</v>
      </c>
      <c r="K188" s="17">
        <f t="shared" si="28"/>
        <v>0.1285606526436035</v>
      </c>
      <c r="L188" s="11">
        <v>96.663333333333341</v>
      </c>
      <c r="M188" s="14">
        <v>113.404304530587</v>
      </c>
      <c r="N188" s="15">
        <f t="shared" si="29"/>
        <v>113.404304530587</v>
      </c>
      <c r="Z188" s="4"/>
      <c r="AA188" s="8"/>
    </row>
    <row r="189" spans="1:27">
      <c r="A189" s="2">
        <v>42644</v>
      </c>
      <c r="B189" s="10">
        <v>26775.200000000001</v>
      </c>
      <c r="C189" s="10">
        <v>18734.400000000001</v>
      </c>
      <c r="D189" s="16">
        <f t="shared" si="25"/>
        <v>-8040.7999999999993</v>
      </c>
      <c r="E189" s="12">
        <v>19089.379000000001</v>
      </c>
      <c r="F189" s="13">
        <f t="shared" si="24"/>
        <v>-0.42121852156636413</v>
      </c>
      <c r="G189" s="16">
        <v>-387.3</v>
      </c>
      <c r="H189" s="16">
        <v>-10475.275</v>
      </c>
      <c r="I189" s="17">
        <f t="shared" si="26"/>
        <v>-0.54874886186711469</v>
      </c>
      <c r="J189" s="18">
        <f t="shared" si="27"/>
        <v>2434.4750000000004</v>
      </c>
      <c r="K189" s="17">
        <f t="shared" si="28"/>
        <v>0.1275303403007505</v>
      </c>
      <c r="L189" s="11">
        <v>100.18333333333332</v>
      </c>
      <c r="M189" s="14">
        <v>117.44375603637501</v>
      </c>
      <c r="N189" s="15">
        <f t="shared" si="29"/>
        <v>117.44375603637501</v>
      </c>
      <c r="Z189" s="4"/>
      <c r="AA189" s="8"/>
    </row>
    <row r="190" spans="1:27">
      <c r="A190" s="2">
        <v>42736</v>
      </c>
      <c r="B190" s="10">
        <v>27884.9</v>
      </c>
      <c r="C190" s="10">
        <v>20031.3</v>
      </c>
      <c r="D190" s="16">
        <f t="shared" si="25"/>
        <v>-7853.6000000000022</v>
      </c>
      <c r="E190" s="12">
        <v>19280.083999999999</v>
      </c>
      <c r="F190" s="13">
        <f t="shared" si="24"/>
        <v>-0.40734262361097612</v>
      </c>
      <c r="G190" s="16">
        <v>-359.2</v>
      </c>
      <c r="H190" s="16">
        <v>-10565.074999999999</v>
      </c>
      <c r="I190" s="17">
        <f t="shared" si="26"/>
        <v>-0.54797868100574665</v>
      </c>
      <c r="J190" s="18">
        <f t="shared" si="27"/>
        <v>2711.4749999999967</v>
      </c>
      <c r="K190" s="17">
        <f t="shared" si="28"/>
        <v>0.14063605739477053</v>
      </c>
      <c r="L190" s="11">
        <v>101.24666666666667</v>
      </c>
      <c r="M190" s="14">
        <v>118.579949228435</v>
      </c>
      <c r="N190" s="15">
        <f t="shared" si="29"/>
        <v>118.579949228435</v>
      </c>
      <c r="Z190" s="4"/>
      <c r="AA190" s="8"/>
    </row>
    <row r="191" spans="1:27">
      <c r="A191" s="2">
        <v>42826</v>
      </c>
      <c r="B191" s="10">
        <v>28707.7</v>
      </c>
      <c r="C191" s="10">
        <v>20995.200000000001</v>
      </c>
      <c r="D191" s="16">
        <f t="shared" si="25"/>
        <v>-7712.5</v>
      </c>
      <c r="E191" s="12">
        <v>19438.643</v>
      </c>
      <c r="F191" s="13">
        <f t="shared" si="24"/>
        <v>-0.39676123482487952</v>
      </c>
      <c r="G191" s="16">
        <v>-428.2</v>
      </c>
      <c r="H191" s="16">
        <v>-10672.124999999998</v>
      </c>
      <c r="I191" s="17">
        <f t="shared" si="26"/>
        <v>-0.54901594725516578</v>
      </c>
      <c r="J191" s="18">
        <f t="shared" si="27"/>
        <v>2959.6249999999982</v>
      </c>
      <c r="K191" s="17">
        <f t="shared" si="28"/>
        <v>0.15225471243028632</v>
      </c>
      <c r="L191" s="11">
        <v>97.83</v>
      </c>
      <c r="M191" s="14">
        <v>115.17243549936001</v>
      </c>
      <c r="N191" s="15">
        <f t="shared" si="29"/>
        <v>115.17243549936001</v>
      </c>
      <c r="Z191" s="4"/>
      <c r="AA191" s="8"/>
    </row>
    <row r="192" spans="1:27">
      <c r="A192" s="2">
        <v>42917</v>
      </c>
      <c r="B192" s="10">
        <v>29660.9</v>
      </c>
      <c r="C192" s="10">
        <v>22178.9</v>
      </c>
      <c r="D192" s="16">
        <f t="shared" si="25"/>
        <v>-7482</v>
      </c>
      <c r="E192" s="12">
        <v>19692.595000000001</v>
      </c>
      <c r="F192" s="13">
        <f t="shared" si="24"/>
        <v>-0.37993976923813239</v>
      </c>
      <c r="G192" s="16">
        <v>-349.7</v>
      </c>
      <c r="H192" s="16">
        <v>-10759.549999999997</v>
      </c>
      <c r="I192" s="17">
        <f t="shared" si="26"/>
        <v>-0.54637542690539243</v>
      </c>
      <c r="J192" s="18">
        <f t="shared" si="27"/>
        <v>3277.5499999999975</v>
      </c>
      <c r="K192" s="17">
        <f t="shared" si="28"/>
        <v>0.16643565766726007</v>
      </c>
      <c r="L192" s="11">
        <v>93.803333333333327</v>
      </c>
      <c r="M192" s="14">
        <v>111.281245902617</v>
      </c>
      <c r="N192" s="15">
        <f t="shared" si="29"/>
        <v>111.281245902617</v>
      </c>
      <c r="Z192" s="4"/>
      <c r="AA192" s="8"/>
    </row>
    <row r="193" spans="1:27">
      <c r="A193" s="2">
        <v>43009</v>
      </c>
      <c r="B193" s="10">
        <v>30608.7</v>
      </c>
      <c r="C193" s="10">
        <v>23023</v>
      </c>
      <c r="D193" s="16">
        <f t="shared" si="25"/>
        <v>-7585.7000000000007</v>
      </c>
      <c r="E193" s="12">
        <v>20037.088</v>
      </c>
      <c r="F193" s="13">
        <f t="shared" si="24"/>
        <v>-0.37858295576682605</v>
      </c>
      <c r="G193" s="16">
        <v>-374.9</v>
      </c>
      <c r="H193" s="16">
        <v>-10853.274999999998</v>
      </c>
      <c r="I193" s="17">
        <f t="shared" si="26"/>
        <v>-0.54165929699964377</v>
      </c>
      <c r="J193" s="18">
        <f t="shared" si="27"/>
        <v>3267.5749999999971</v>
      </c>
      <c r="K193" s="17">
        <f t="shared" si="28"/>
        <v>0.16307634123281772</v>
      </c>
      <c r="L193" s="11">
        <v>94.936666666666667</v>
      </c>
      <c r="M193" s="14">
        <v>112.32108111837</v>
      </c>
      <c r="N193" s="15">
        <f t="shared" si="29"/>
        <v>112.32108111837</v>
      </c>
      <c r="Z193" s="4"/>
      <c r="AA193" s="8"/>
    </row>
    <row r="194" spans="1:27">
      <c r="A194" s="2">
        <v>43101</v>
      </c>
      <c r="B194" s="10">
        <v>30548.799999999999</v>
      </c>
      <c r="C194" s="10">
        <v>22843.4</v>
      </c>
      <c r="D194" s="16">
        <f t="shared" si="25"/>
        <v>-7705.3999999999978</v>
      </c>
      <c r="E194" s="12">
        <v>20328.553</v>
      </c>
      <c r="F194" s="13">
        <f t="shared" si="24"/>
        <v>-0.37904321079813197</v>
      </c>
      <c r="G194" s="16">
        <v>-391.9</v>
      </c>
      <c r="H194" s="16">
        <v>-10951.249999999998</v>
      </c>
      <c r="I194" s="17">
        <f t="shared" ref="I194:I201" si="30">H194/E194</f>
        <v>-0.53871271605017823</v>
      </c>
      <c r="J194" s="18">
        <f t="shared" ref="J194:J201" si="31">D194-H194</f>
        <v>3245.8500000000004</v>
      </c>
      <c r="K194" s="17">
        <f t="shared" ref="K194:K201" si="32">J194/E194</f>
        <v>0.15966950525204623</v>
      </c>
      <c r="L194" s="11">
        <v>92.673333333333332</v>
      </c>
      <c r="M194" s="14">
        <v>109.300215605688</v>
      </c>
      <c r="N194" s="15">
        <f t="shared" si="29"/>
        <v>109.300215605688</v>
      </c>
      <c r="Z194" s="4"/>
      <c r="AA194" s="8"/>
    </row>
    <row r="195" spans="1:27">
      <c r="A195" s="2">
        <v>43191</v>
      </c>
      <c r="B195" s="10">
        <v>31108.9</v>
      </c>
      <c r="C195" s="10">
        <v>22461.5</v>
      </c>
      <c r="D195" s="16">
        <f t="shared" si="25"/>
        <v>-8647.4000000000015</v>
      </c>
      <c r="E195" s="12">
        <v>20580.912</v>
      </c>
      <c r="F195" s="13">
        <f t="shared" si="24"/>
        <v>-0.42016602568438177</v>
      </c>
      <c r="G195" s="16">
        <v>-376.7</v>
      </c>
      <c r="H195" s="16">
        <v>-11045.424999999997</v>
      </c>
      <c r="I195" s="17">
        <f t="shared" si="30"/>
        <v>-0.53668297109476959</v>
      </c>
      <c r="J195" s="18">
        <f t="shared" si="31"/>
        <v>2398.024999999996</v>
      </c>
      <c r="K195" s="17">
        <f t="shared" si="32"/>
        <v>0.11651694541038783</v>
      </c>
      <c r="L195" s="11">
        <v>95.353333333333339</v>
      </c>
      <c r="M195" s="14">
        <v>111.844123728269</v>
      </c>
      <c r="N195" s="15">
        <f t="shared" si="29"/>
        <v>111.844123728269</v>
      </c>
      <c r="Z195" s="4"/>
      <c r="AA195" s="8"/>
    </row>
    <row r="196" spans="1:27">
      <c r="A196" s="2">
        <v>43282</v>
      </c>
      <c r="B196" s="10">
        <v>32038.7</v>
      </c>
      <c r="C196" s="10">
        <v>22676</v>
      </c>
      <c r="D196" s="16">
        <f t="shared" si="25"/>
        <v>-9362.7000000000007</v>
      </c>
      <c r="E196" s="12">
        <v>20798.73</v>
      </c>
      <c r="F196" s="13">
        <f t="shared" si="24"/>
        <v>-0.45015729325780951</v>
      </c>
      <c r="G196" s="16">
        <v>-484.5</v>
      </c>
      <c r="H196" s="16">
        <v>-11166.549999999997</v>
      </c>
      <c r="I196" s="17">
        <f t="shared" si="30"/>
        <v>-0.53688614641374721</v>
      </c>
      <c r="J196" s="18">
        <f t="shared" si="31"/>
        <v>1803.8499999999967</v>
      </c>
      <c r="K196" s="17">
        <f t="shared" si="32"/>
        <v>8.672885315593773E-2</v>
      </c>
      <c r="L196" s="11">
        <v>96.38</v>
      </c>
      <c r="M196" s="14">
        <v>114.91500178370001</v>
      </c>
      <c r="N196" s="15">
        <f t="shared" si="29"/>
        <v>114.91500178370001</v>
      </c>
      <c r="Z196" s="4"/>
      <c r="AA196" s="8"/>
    </row>
    <row r="197" spans="1:27">
      <c r="A197" s="2">
        <v>43374</v>
      </c>
      <c r="B197" s="10">
        <v>30186.6</v>
      </c>
      <c r="C197" s="10">
        <v>20718.599999999999</v>
      </c>
      <c r="D197" s="16">
        <f t="shared" si="25"/>
        <v>-9468</v>
      </c>
      <c r="E197" s="12">
        <v>20917.866999999998</v>
      </c>
      <c r="F197" s="13">
        <f t="shared" si="24"/>
        <v>-0.45262741177195553</v>
      </c>
      <c r="G197" s="16">
        <v>-511.6</v>
      </c>
      <c r="H197" s="16">
        <v>-11294.449999999997</v>
      </c>
      <c r="I197" s="17">
        <f t="shared" si="30"/>
        <v>-0.53994271978113251</v>
      </c>
      <c r="J197" s="18">
        <f t="shared" si="31"/>
        <v>1826.4499999999971</v>
      </c>
      <c r="K197" s="17">
        <f t="shared" si="32"/>
        <v>8.7315308009176903E-2</v>
      </c>
      <c r="L197" s="11">
        <v>97.816666666666677</v>
      </c>
      <c r="M197" s="14">
        <v>116.772056813736</v>
      </c>
      <c r="N197" s="15">
        <f t="shared" si="29"/>
        <v>116.772056813736</v>
      </c>
      <c r="Z197" s="4"/>
      <c r="AA197" s="8"/>
    </row>
    <row r="198" spans="1:27">
      <c r="A198" s="2">
        <v>43466</v>
      </c>
      <c r="B198" s="10">
        <v>32276.2</v>
      </c>
      <c r="C198" s="10">
        <v>22274.400000000001</v>
      </c>
      <c r="D198" s="16">
        <f t="shared" si="25"/>
        <v>-10001.799999999999</v>
      </c>
      <c r="E198" s="12">
        <v>21111.599999999999</v>
      </c>
      <c r="F198" s="13">
        <f t="shared" si="24"/>
        <v>-0.47375850243468048</v>
      </c>
      <c r="G198" s="16">
        <v>-470.3</v>
      </c>
      <c r="H198" s="16">
        <v>-11412.024999999998</v>
      </c>
      <c r="I198" s="17">
        <f t="shared" si="30"/>
        <v>-0.54055708709903549</v>
      </c>
      <c r="J198" s="18">
        <f t="shared" si="31"/>
        <v>1410.2249999999985</v>
      </c>
      <c r="K198" s="17">
        <f t="shared" si="32"/>
        <v>6.6798584664355079E-2</v>
      </c>
      <c r="L198" s="11">
        <v>97.343333333333348</v>
      </c>
      <c r="M198" s="14">
        <v>115.382634054202</v>
      </c>
      <c r="N198" s="15">
        <f t="shared" si="29"/>
        <v>115.382634054202</v>
      </c>
      <c r="Z198" s="4"/>
      <c r="AA198" s="8"/>
    </row>
    <row r="199" spans="1:27">
      <c r="A199" s="2">
        <v>43556</v>
      </c>
      <c r="B199" s="10">
        <v>33186.1</v>
      </c>
      <c r="C199" s="10">
        <v>22850.400000000001</v>
      </c>
      <c r="D199" s="16">
        <f t="shared" si="25"/>
        <v>-10335.699999999997</v>
      </c>
      <c r="E199" s="12">
        <v>21397.937999999998</v>
      </c>
      <c r="F199" s="13">
        <f t="shared" si="24"/>
        <v>-0.48302317727997895</v>
      </c>
      <c r="G199" s="16">
        <v>-475.2</v>
      </c>
      <c r="H199" s="16">
        <v>-11530.824999999997</v>
      </c>
      <c r="I199" s="17">
        <f t="shared" si="30"/>
        <v>-0.53887552155726393</v>
      </c>
      <c r="J199" s="18">
        <f t="shared" si="31"/>
        <v>1195.125</v>
      </c>
      <c r="K199" s="17">
        <f t="shared" si="32"/>
        <v>5.585234427728504E-2</v>
      </c>
      <c r="L199" s="11">
        <v>98.293333333333337</v>
      </c>
      <c r="M199" s="14">
        <v>116.273670328968</v>
      </c>
      <c r="N199" s="15">
        <f t="shared" si="29"/>
        <v>116.273670328968</v>
      </c>
      <c r="Z199" s="4"/>
      <c r="AA199" s="8"/>
    </row>
    <row r="200" spans="1:27">
      <c r="A200" s="2">
        <v>43647</v>
      </c>
      <c r="B200" s="10">
        <v>33891.300000000003</v>
      </c>
      <c r="C200" s="10">
        <v>22795.1</v>
      </c>
      <c r="D200" s="16">
        <f t="shared" si="25"/>
        <v>-11096.200000000004</v>
      </c>
      <c r="E200" s="12">
        <v>21717.170999999998</v>
      </c>
      <c r="F200" s="13">
        <f t="shared" si="24"/>
        <v>-0.51094131919852748</v>
      </c>
      <c r="G200" s="16">
        <v>-444.6</v>
      </c>
      <c r="H200" s="16">
        <v>-11641.974999999997</v>
      </c>
      <c r="I200" s="17">
        <f t="shared" si="30"/>
        <v>-0.53607235491215677</v>
      </c>
      <c r="J200" s="18">
        <f t="shared" si="31"/>
        <v>545.77499999999236</v>
      </c>
      <c r="K200" s="17">
        <f t="shared" si="32"/>
        <v>2.51310357136292E-2</v>
      </c>
      <c r="L200" s="11">
        <v>98.96</v>
      </c>
      <c r="M200" s="14">
        <v>117.197500103685</v>
      </c>
      <c r="N200" s="15">
        <f t="shared" si="29"/>
        <v>117.197500103685</v>
      </c>
      <c r="Z200" s="4"/>
      <c r="AA200" s="8"/>
    </row>
    <row r="201" spans="1:27">
      <c r="A201" s="2">
        <v>43739</v>
      </c>
      <c r="B201" s="10">
        <v>35302.5</v>
      </c>
      <c r="C201" s="10">
        <v>24044.5</v>
      </c>
      <c r="D201" s="16">
        <f t="shared" si="25"/>
        <v>-11258</v>
      </c>
      <c r="E201" s="12">
        <v>21933.217000000001</v>
      </c>
      <c r="F201" s="13">
        <f t="shared" si="24"/>
        <v>-0.51328539721282107</v>
      </c>
      <c r="G201" s="16">
        <v>-403.5</v>
      </c>
      <c r="H201" s="16">
        <v>-11742.849999999997</v>
      </c>
      <c r="I201" s="17">
        <f t="shared" si="30"/>
        <v>-0.53539113756089662</v>
      </c>
      <c r="J201" s="18">
        <f t="shared" si="31"/>
        <v>484.84999999999673</v>
      </c>
      <c r="K201" s="17">
        <f t="shared" si="32"/>
        <v>2.2105740348075557E-2</v>
      </c>
      <c r="L201" s="11">
        <v>98.44</v>
      </c>
      <c r="M201" s="14">
        <v>116.95211459238099</v>
      </c>
      <c r="N201" s="15">
        <f t="shared" si="29"/>
        <v>116.95211459238099</v>
      </c>
      <c r="Z201" s="4"/>
      <c r="AA201" s="8"/>
    </row>
    <row r="202" spans="1:27">
      <c r="A202" s="2"/>
      <c r="B202" s="10"/>
      <c r="C202" s="10"/>
      <c r="D202" s="16"/>
      <c r="E202" s="12"/>
      <c r="F202" s="13"/>
      <c r="G202" s="16"/>
      <c r="H202" s="16"/>
      <c r="I202" s="17"/>
      <c r="J202" s="18"/>
      <c r="K202" s="17"/>
      <c r="M202" s="14"/>
      <c r="N202" s="15"/>
      <c r="Z202" s="4"/>
      <c r="AA202" s="8"/>
    </row>
    <row r="203" spans="1:27">
      <c r="A203" s="2"/>
      <c r="B203" s="10"/>
      <c r="C203" s="10"/>
      <c r="D203" s="16"/>
      <c r="E203" s="12"/>
      <c r="F203" s="13"/>
      <c r="G203" s="16"/>
      <c r="H203" s="16"/>
      <c r="I203" s="17"/>
      <c r="J203" s="18"/>
      <c r="K203" s="17"/>
      <c r="M203" s="14"/>
      <c r="N203" s="15"/>
      <c r="Z203" s="4"/>
      <c r="AA203" s="8"/>
    </row>
    <row r="204" spans="1:27">
      <c r="A204" s="2"/>
      <c r="B204" s="10"/>
      <c r="C204" s="10"/>
      <c r="D204" s="16"/>
      <c r="E204" s="12"/>
      <c r="F204" s="13"/>
      <c r="G204" s="16"/>
      <c r="H204" s="16"/>
      <c r="I204" s="17"/>
      <c r="J204" s="18"/>
      <c r="K204" s="17"/>
      <c r="M204" s="14"/>
      <c r="N204" s="15"/>
      <c r="Z204" s="4"/>
      <c r="AA204" s="8"/>
    </row>
    <row r="205" spans="1:27">
      <c r="A205" s="2"/>
      <c r="B205" s="10"/>
      <c r="C205" s="10"/>
      <c r="D205" s="16"/>
      <c r="E205" s="12"/>
      <c r="F205" s="13"/>
      <c r="G205" s="16"/>
      <c r="H205" s="16"/>
      <c r="I205" s="17"/>
      <c r="J205" s="18"/>
      <c r="K205" s="17"/>
      <c r="M205" s="14"/>
      <c r="N205" s="15"/>
      <c r="Z205" s="4"/>
      <c r="AA205" s="8"/>
    </row>
    <row r="206" spans="1:27">
      <c r="A206" s="2"/>
      <c r="B206" s="10"/>
      <c r="C206" s="10"/>
      <c r="D206" s="16"/>
      <c r="E206" s="12"/>
      <c r="F206" s="13"/>
      <c r="G206" s="16"/>
      <c r="H206" s="16"/>
      <c r="I206" s="17"/>
      <c r="J206" s="18"/>
      <c r="K206" s="17"/>
      <c r="M206" s="14"/>
      <c r="N206" s="15"/>
      <c r="Z206" s="4"/>
      <c r="AA206" s="8"/>
    </row>
    <row r="207" spans="1:27">
      <c r="A207" s="2"/>
      <c r="B207" s="10"/>
      <c r="C207" s="10"/>
      <c r="D207" s="16"/>
      <c r="E207" s="12"/>
      <c r="F207" s="13"/>
      <c r="G207" s="16"/>
      <c r="H207" s="16"/>
      <c r="I207" s="17"/>
      <c r="J207" s="18"/>
      <c r="K207" s="17"/>
      <c r="M207" s="14"/>
      <c r="N207" s="15"/>
      <c r="Z207" s="4"/>
      <c r="AA207" s="8"/>
    </row>
    <row r="208" spans="1:27">
      <c r="A208" s="2"/>
      <c r="B208" s="10"/>
      <c r="C208" s="10"/>
      <c r="D208" s="16"/>
      <c r="E208" s="12"/>
      <c r="F208" s="13"/>
      <c r="G208" s="16"/>
      <c r="H208" s="16"/>
      <c r="I208" s="17"/>
      <c r="J208" s="18"/>
      <c r="K208" s="17"/>
      <c r="M208" s="14"/>
      <c r="N208" s="15"/>
      <c r="Z208" s="4"/>
      <c r="AA208" s="8"/>
    </row>
    <row r="209" spans="1:27">
      <c r="A209" s="2"/>
      <c r="B209" s="10"/>
      <c r="C209" s="10"/>
      <c r="D209" s="16"/>
      <c r="E209" s="12"/>
      <c r="F209" s="13"/>
      <c r="G209" s="16"/>
      <c r="H209" s="16"/>
      <c r="I209" s="17"/>
      <c r="J209" s="18"/>
      <c r="K209" s="17"/>
      <c r="M209" s="14"/>
      <c r="N209" s="15"/>
      <c r="Z209" s="4"/>
      <c r="AA209" s="8"/>
    </row>
    <row r="210" spans="1:27">
      <c r="A210" s="2"/>
      <c r="B210" s="10"/>
      <c r="C210" s="10"/>
      <c r="D210" s="16"/>
      <c r="E210" s="12"/>
      <c r="F210" s="13"/>
      <c r="G210" s="16"/>
      <c r="H210" s="16"/>
      <c r="I210" s="17"/>
      <c r="J210" s="18"/>
      <c r="K210" s="17"/>
      <c r="M210" s="14"/>
      <c r="N210" s="15"/>
      <c r="Z210" s="4"/>
      <c r="AA210" s="8"/>
    </row>
    <row r="211" spans="1:27">
      <c r="A211" s="2"/>
      <c r="B211" s="10"/>
      <c r="C211" s="10"/>
      <c r="D211" s="16"/>
      <c r="E211" s="12"/>
      <c r="F211" s="13"/>
      <c r="G211" s="16"/>
      <c r="H211" s="16"/>
      <c r="I211" s="17"/>
      <c r="J211" s="18"/>
      <c r="K211" s="17"/>
      <c r="M211" s="14"/>
      <c r="N211" s="15"/>
      <c r="Z211" s="4"/>
      <c r="AA211" s="8"/>
    </row>
    <row r="212" spans="1:27">
      <c r="A212" s="2"/>
      <c r="B212" s="10"/>
      <c r="C212" s="10"/>
      <c r="D212" s="16"/>
      <c r="E212" s="12"/>
      <c r="F212" s="13"/>
      <c r="G212" s="16"/>
      <c r="H212" s="16"/>
      <c r="I212" s="17"/>
      <c r="J212" s="18"/>
      <c r="K212" s="17"/>
      <c r="M212" s="14"/>
      <c r="N212" s="15"/>
      <c r="Z212" s="4"/>
      <c r="AA212" s="8"/>
    </row>
    <row r="213" spans="1:27">
      <c r="A213" s="2"/>
      <c r="B213" s="10"/>
      <c r="C213" s="10"/>
      <c r="D213" s="16"/>
      <c r="E213" s="12"/>
      <c r="F213" s="13"/>
      <c r="G213" s="16"/>
      <c r="H213" s="16"/>
      <c r="I213" s="17"/>
      <c r="J213" s="18"/>
      <c r="K213" s="17"/>
      <c r="M213" s="14"/>
      <c r="N213" s="15"/>
      <c r="Z213" s="4"/>
      <c r="AA213" s="8"/>
    </row>
    <row r="214" spans="1:27">
      <c r="A214" s="2"/>
      <c r="B214" s="10"/>
      <c r="C214" s="10"/>
      <c r="D214" s="16"/>
      <c r="E214" s="12"/>
      <c r="F214" s="13"/>
      <c r="G214" s="16"/>
      <c r="H214" s="16"/>
      <c r="I214" s="17"/>
      <c r="J214" s="18"/>
      <c r="K214" s="17"/>
      <c r="M214" s="14"/>
      <c r="N214" s="15"/>
      <c r="Z214" s="4"/>
      <c r="AA214" s="8"/>
    </row>
    <row r="215" spans="1:27">
      <c r="A215" s="2"/>
      <c r="B215" s="10"/>
      <c r="C215" s="10"/>
      <c r="D215" s="16"/>
      <c r="E215" s="12"/>
      <c r="F215" s="13"/>
      <c r="G215" s="16"/>
      <c r="H215" s="16"/>
      <c r="I215" s="17"/>
      <c r="J215" s="18"/>
      <c r="K215" s="17"/>
      <c r="M215" s="14"/>
      <c r="N215" s="15"/>
      <c r="Z215" s="4"/>
      <c r="AA215" s="8"/>
    </row>
    <row r="216" spans="1:27">
      <c r="A216" s="2"/>
      <c r="B216" s="10"/>
      <c r="C216" s="10"/>
      <c r="D216" s="16"/>
      <c r="E216" s="12"/>
      <c r="F216" s="13"/>
      <c r="G216" s="16"/>
      <c r="H216" s="16"/>
      <c r="I216" s="17"/>
      <c r="J216" s="18"/>
      <c r="K216" s="17"/>
      <c r="M216" s="14"/>
      <c r="N216" s="15"/>
      <c r="Z216" s="4"/>
      <c r="AA216" s="8"/>
    </row>
    <row r="217" spans="1:27">
      <c r="A217" s="2"/>
      <c r="B217" s="10"/>
      <c r="C217" s="10"/>
      <c r="D217" s="10"/>
      <c r="E217" s="12"/>
      <c r="G217" s="10"/>
      <c r="H217" s="10"/>
      <c r="I217" s="10"/>
      <c r="J217" s="10"/>
      <c r="K217" s="10"/>
      <c r="M217" s="14"/>
      <c r="N217" s="15"/>
      <c r="Z217" s="4"/>
      <c r="AA217" s="8"/>
    </row>
    <row r="218" spans="1:27">
      <c r="A218" s="2"/>
      <c r="B218" s="10"/>
      <c r="C218" s="10"/>
      <c r="D218" s="10"/>
      <c r="E218" s="12"/>
      <c r="G218" s="10"/>
      <c r="H218" s="10"/>
      <c r="I218" s="10"/>
      <c r="J218" s="10"/>
      <c r="K218" s="10"/>
      <c r="M218" s="14"/>
      <c r="N218" s="15"/>
      <c r="Z218" s="4"/>
      <c r="AA218" s="8"/>
    </row>
    <row r="219" spans="1:27">
      <c r="A219" s="2"/>
      <c r="E219" s="12"/>
      <c r="M219" s="14"/>
      <c r="N219" s="15"/>
      <c r="Z219" s="4"/>
      <c r="AA219" s="8"/>
    </row>
    <row r="220" spans="1:27">
      <c r="A220" s="2"/>
      <c r="E220" s="12"/>
      <c r="M220" s="14"/>
      <c r="N220" s="15"/>
      <c r="Z220" s="4"/>
      <c r="AA220" s="8"/>
    </row>
    <row r="221" spans="1:27">
      <c r="A221" s="2"/>
      <c r="E221" s="12"/>
      <c r="M221" s="14"/>
      <c r="N221" s="15"/>
    </row>
  </sheetData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ADC-F9D6-4415-9A39-4FC0C3CCDDAA}">
  <dimension ref="A1:D19"/>
  <sheetViews>
    <sheetView workbookViewId="0">
      <selection activeCell="D11" sqref="D11"/>
    </sheetView>
  </sheetViews>
  <sheetFormatPr defaultRowHeight="18"/>
  <cols>
    <col min="1" max="1" width="12.27734375" customWidth="1"/>
    <col min="2" max="2" width="48.21875" customWidth="1"/>
  </cols>
  <sheetData>
    <row r="1" spans="1:4">
      <c r="A1" t="s">
        <v>17</v>
      </c>
    </row>
    <row r="3" spans="1:4">
      <c r="A3" t="s">
        <v>4</v>
      </c>
      <c r="B3" t="s">
        <v>6</v>
      </c>
      <c r="C3" t="s">
        <v>10</v>
      </c>
      <c r="D3" t="s">
        <v>9</v>
      </c>
    </row>
    <row r="4" spans="1:4">
      <c r="D4" t="s">
        <v>7</v>
      </c>
    </row>
    <row r="5" spans="1:4">
      <c r="D5" t="s">
        <v>8</v>
      </c>
    </row>
    <row r="7" spans="1:4">
      <c r="A7" t="s">
        <v>12</v>
      </c>
      <c r="B7" t="s">
        <v>14</v>
      </c>
      <c r="C7" t="s">
        <v>15</v>
      </c>
      <c r="D7" t="s">
        <v>16</v>
      </c>
    </row>
    <row r="8" spans="1:4">
      <c r="D8" t="s">
        <v>29</v>
      </c>
    </row>
    <row r="10" spans="1:4">
      <c r="A10" s="1" t="s">
        <v>3</v>
      </c>
      <c r="B10" t="s">
        <v>13</v>
      </c>
      <c r="C10" t="s">
        <v>11</v>
      </c>
    </row>
    <row r="11" spans="1:4">
      <c r="B11" s="1"/>
    </row>
    <row r="12" spans="1:4">
      <c r="A12" t="s">
        <v>20</v>
      </c>
      <c r="B12" s="1" t="s">
        <v>22</v>
      </c>
    </row>
    <row r="13" spans="1:4">
      <c r="B13" s="1"/>
    </row>
    <row r="14" spans="1:4">
      <c r="A14" t="s">
        <v>2</v>
      </c>
      <c r="B14" t="s">
        <v>13</v>
      </c>
      <c r="C14" t="s">
        <v>15</v>
      </c>
      <c r="D14" t="s">
        <v>16</v>
      </c>
    </row>
    <row r="15" spans="1:4">
      <c r="B15" s="1"/>
      <c r="D15" t="s">
        <v>29</v>
      </c>
    </row>
    <row r="16" spans="1:4">
      <c r="B16" s="1"/>
    </row>
    <row r="17" spans="1:3">
      <c r="A17" t="s">
        <v>5</v>
      </c>
      <c r="B17" s="1" t="s">
        <v>21</v>
      </c>
      <c r="C17" t="s">
        <v>27</v>
      </c>
    </row>
    <row r="18" spans="1:3">
      <c r="B18" s="1"/>
    </row>
    <row r="19" spans="1:3">
      <c r="A19" t="s">
        <v>5</v>
      </c>
      <c r="B19" s="1" t="s">
        <v>26</v>
      </c>
      <c r="C19" t="s">
        <v>28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Nakagawa</dc:creator>
  <cp:lastModifiedBy>H Nakagawa</cp:lastModifiedBy>
  <dcterms:created xsi:type="dcterms:W3CDTF">2025-03-21T10:58:25Z</dcterms:created>
  <dcterms:modified xsi:type="dcterms:W3CDTF">2025-05-29T02:01:24Z</dcterms:modified>
</cp:coreProperties>
</file>